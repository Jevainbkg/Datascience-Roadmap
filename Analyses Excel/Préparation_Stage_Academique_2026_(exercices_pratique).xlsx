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tables/table2.xml" ContentType="application/vnd.openxmlformats-officedocument.spreadsheetml.table+xml"/>
  <Override PartName="/xl/queryTables/queryTable1.xml" ContentType="application/vnd.openxmlformats-officedocument.spreadsheetml.queryTable+xml"/>
  <Override PartName="/xl/slicers/slicer1.xml" ContentType="application/vnd.ms-excel.slicer+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tables/table3.xml" ContentType="application/vnd.openxmlformats-officedocument.spreadsheetml.table+xml"/>
  <Override PartName="/xl/queryTables/queryTable2.xml" ContentType="application/vnd.openxmlformats-officedocument.spreadsheetml.query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tables/table4.xml" ContentType="application/vnd.openxmlformats-officedocument.spreadsheetml.table+xml"/>
  <Override PartName="/xl/tables/table5.xml" ContentType="application/vnd.openxmlformats-officedocument.spreadsheetml.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tables/table6.xml" ContentType="application/vnd.openxmlformats-officedocument.spreadsheetml.table+xml"/>
  <Override PartName="/xl/queryTables/queryTable3.xml" ContentType="application/vnd.openxmlformats-officedocument.spreadsheetml.query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D:\JevainBkg\Projets\Datascience-roadmap\Analyses Excel\"/>
    </mc:Choice>
  </mc:AlternateContent>
  <xr:revisionPtr revIDLastSave="0" documentId="13_ncr:1_{E5BD14AF-B1A9-45BF-9624-ADE1DA15E3FC}" xr6:coauthVersionLast="47" xr6:coauthVersionMax="47" xr10:uidLastSave="{00000000-0000-0000-0000-000000000000}"/>
  <bookViews>
    <workbookView xWindow="-120" yWindow="-120" windowWidth="24240" windowHeight="13740" activeTab="3" xr2:uid="{7D3A7277-DCDC-4547-AB5A-331124B03413}"/>
  </bookViews>
  <sheets>
    <sheet name="Dataset_day1" sheetId="1" r:id="rId1"/>
    <sheet name="Dataset_day2" sheetId="5" r:id="rId2"/>
    <sheet name="Dataset_day3" sheetId="7" r:id="rId3"/>
    <sheet name="Dataset_day4" sheetId="11" r:id="rId4"/>
    <sheet name="Dataset_day5" sheetId="12" r:id="rId5"/>
    <sheet name="Feuil6" sheetId="8" r:id="rId6"/>
    <sheet name="Feuil5" sheetId="6" r:id="rId7"/>
  </sheets>
  <definedNames>
    <definedName name="DonnéesExternes_1" localSheetId="1" hidden="1">Dataset_day2!$B$2:$H$17</definedName>
    <definedName name="DonnéesExternes_1" localSheetId="2" hidden="1">Dataset_day3!$B$2:$H$17</definedName>
    <definedName name="DonnéesExternes_1" localSheetId="4" hidden="1">Dataset_day5!$B$2:$H$17</definedName>
    <definedName name="Segment_client_id">#N/A</definedName>
  </definedNames>
  <calcPr calcId="191029"/>
  <pivotCaches>
    <pivotCache cacheId="0" r:id="rId8"/>
    <pivotCache cacheId="1" r:id="rId9"/>
    <pivotCache cacheId="2" r:id="rId10"/>
    <pivotCache cacheId="3" r:id="rId11"/>
    <pivotCache cacheId="4" r:id="rId12"/>
  </pivotCaches>
  <extLst>
    <ext xmlns:x14="http://schemas.microsoft.com/office/spreadsheetml/2009/9/main" uri="{BBE1A952-AA13-448e-AADC-164F8A28A991}">
      <x14:slicerCaches>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60" i="5" l="1" a="1"/>
  <c r="G60" i="5" s="1"/>
  <c r="G62" i="5" a="1"/>
  <c r="G62" i="5" s="1"/>
  <c r="G63" i="5" a="1"/>
  <c r="G63" i="5" s="1"/>
  <c r="G64" i="5" a="1"/>
  <c r="G64" i="5" s="1"/>
  <c r="G65" i="5" a="1"/>
  <c r="G65" i="5" s="1"/>
  <c r="G66" i="5" a="1"/>
  <c r="G66" i="5" s="1"/>
  <c r="G67" i="5" a="1"/>
  <c r="G67" i="5" s="1"/>
  <c r="G61" i="5" a="1"/>
  <c r="G61" i="5" s="1"/>
  <c r="AA10" i="11"/>
  <c r="AA7" i="11"/>
  <c r="AA5" i="11"/>
  <c r="AA4" i="11"/>
  <c r="AA8" i="11"/>
  <c r="AA9" i="11"/>
  <c r="AA11" i="11"/>
  <c r="AA6" i="11"/>
  <c r="N28" i="12"/>
  <c r="D43" i="11"/>
  <c r="D47" i="11"/>
  <c r="D44" i="11"/>
  <c r="D45" i="11"/>
  <c r="D46" i="11"/>
  <c r="D42" i="1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6FFA627-FFEE-45A1-AB9D-F710C53539EB}" keepAlive="1" name="Requête - Dataset_day2" description="Connexion à la requête « Dataset_day2 » dans le classeur." type="5" refreshedVersion="0" background="1">
    <dbPr connection="Provider=Microsoft.Mashup.OleDb.1;Data Source=$Workbook$;Location=Dataset_day2;Extended Properties=&quot;&quot;" command="SELECT * FROM [Dataset_day2]"/>
  </connection>
  <connection id="2" xr16:uid="{2C6A1902-82F7-4A5A-AFAF-7F0B3069FF2D}" keepAlive="1" name="Requête - Dataset_day2 (2)" description="Connexion à la requête « Dataset_day2 (2) » dans le classeur." type="5" refreshedVersion="8" background="1" saveData="1">
    <dbPr connection="Provider=Microsoft.Mashup.OleDb.1;Data Source=$Workbook$;Location=&quot;Dataset_day2 (2)&quot;;Extended Properties=&quot;&quot;" command="SELECT * FROM [Dataset_day2 (2)]"/>
  </connection>
  <connection id="3" xr16:uid="{099773F2-E526-4E34-AEA5-D1ED3079F0EF}" keepAlive="1" name="Requête - Dataset_day3" description="Connexion à la requête « Dataset_day3 » dans le classeur." type="5" refreshedVersion="8" background="1" saveData="1">
    <dbPr connection="Provider=Microsoft.Mashup.OleDb.1;Data Source=$Workbook$;Location=Dataset_day3;Extended Properties=&quot;&quot;" command="SELECT * FROM [Dataset_day3]"/>
  </connection>
  <connection id="4" xr16:uid="{D0D41E43-0F0A-48BE-B468-697C2262E146}" keepAlive="1" name="Requête - Dataset_day5" description="Connexion à la requête « Dataset_day5 » dans le classeur." type="5" refreshedVersion="8" background="1" saveData="1">
    <dbPr connection="Provider=Microsoft.Mashup.OleDb.1;Data Source=$Workbook$;Location=Dataset_day5;Extended Properties=&quot;&quot;" command="SELECT * FROM [Dataset_day5]"/>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<sst xmlns="http://schemas.openxmlformats.org/spreadsheetml/2006/main" count="703" uniqueCount="221">
  <si>
    <t>transaction_id</t>
  </si>
  <si>
    <t>date</t>
  </si>
  <si>
    <t>client_id</t>
  </si>
  <si>
    <t>commune</t>
  </si>
  <si>
    <t>produit</t>
  </si>
  <si>
    <t>montant_fc</t>
  </si>
  <si>
    <t>canal</t>
  </si>
  <si>
    <t>T001</t>
  </si>
  <si>
    <t>C001</t>
  </si>
  <si>
    <t>Gombe</t>
  </si>
  <si>
    <t>Data 5GB</t>
  </si>
  <si>
    <t>Mobile Money</t>
  </si>
  <si>
    <t>T002</t>
  </si>
  <si>
    <t>C002</t>
  </si>
  <si>
    <t>Limete</t>
  </si>
  <si>
    <t>Voice</t>
  </si>
  <si>
    <t>USSD</t>
  </si>
  <si>
    <t>T003</t>
  </si>
  <si>
    <t>C003</t>
  </si>
  <si>
    <t>Matete</t>
  </si>
  <si>
    <t>Agent</t>
  </si>
  <si>
    <t>T004</t>
  </si>
  <si>
    <t>SMS</t>
  </si>
  <si>
    <t>T005</t>
  </si>
  <si>
    <t>C004</t>
  </si>
  <si>
    <t>Ndjili</t>
  </si>
  <si>
    <t>Data 10GB</t>
  </si>
  <si>
    <t>T006</t>
  </si>
  <si>
    <t>C005</t>
  </si>
  <si>
    <t>T007</t>
  </si>
  <si>
    <t>C006</t>
  </si>
  <si>
    <t>Masina</t>
  </si>
  <si>
    <t>T008</t>
  </si>
  <si>
    <t>T009</t>
  </si>
  <si>
    <t>C007</t>
  </si>
  <si>
    <t>T010</t>
  </si>
  <si>
    <t>C008</t>
  </si>
  <si>
    <t>CA</t>
  </si>
  <si>
    <t>Étiquettes de lignes</t>
  </si>
  <si>
    <t>Nombre de transaction_id</t>
  </si>
  <si>
    <t>Total général</t>
  </si>
  <si>
    <t>Somme de montant_fc</t>
  </si>
  <si>
    <t>Étiquettes de colonnes</t>
  </si>
  <si>
    <t>DATASET</t>
  </si>
  <si>
    <t>Calcul CA</t>
  </si>
  <si>
    <t xml:space="preserve">Best town seller </t>
  </si>
  <si>
    <t xml:space="preserve">Best product </t>
  </si>
  <si>
    <t>Best canal</t>
  </si>
  <si>
    <t>T011</t>
  </si>
  <si>
    <t>T012</t>
  </si>
  <si>
    <t>T013</t>
  </si>
  <si>
    <t>T014</t>
  </si>
  <si>
    <t>C009</t>
  </si>
  <si>
    <t>T015</t>
  </si>
  <si>
    <t>C010</t>
  </si>
  <si>
    <t>T016</t>
  </si>
  <si>
    <t>T017</t>
  </si>
  <si>
    <t>T018</t>
  </si>
  <si>
    <t>C011</t>
  </si>
  <si>
    <t>T019</t>
  </si>
  <si>
    <t>T020</t>
  </si>
  <si>
    <t>C012</t>
  </si>
  <si>
    <t>T021</t>
  </si>
  <si>
    <t>T022</t>
  </si>
  <si>
    <t>C013</t>
  </si>
  <si>
    <t>T023</t>
  </si>
  <si>
    <t>T024</t>
  </si>
  <si>
    <t>C014</t>
  </si>
  <si>
    <t>T025</t>
  </si>
  <si>
    <t>Total Nombre de transaction_id</t>
  </si>
  <si>
    <t>Total Somme de montant_fc</t>
  </si>
  <si>
    <t>Frequence par client</t>
  </si>
  <si>
    <t>Canal preferé par client</t>
  </si>
  <si>
    <t>Clients</t>
  </si>
  <si>
    <t>Clients/canal</t>
  </si>
  <si>
    <t>agent_id</t>
  </si>
  <si>
    <t>A001</t>
  </si>
  <si>
    <t>AG01</t>
  </si>
  <si>
    <t>C101</t>
  </si>
  <si>
    <t>A002</t>
  </si>
  <si>
    <t>AG02</t>
  </si>
  <si>
    <t>C102</t>
  </si>
  <si>
    <t>A003</t>
  </si>
  <si>
    <t>C103</t>
  </si>
  <si>
    <t>A004</t>
  </si>
  <si>
    <t>AG03</t>
  </si>
  <si>
    <t>C104</t>
  </si>
  <si>
    <t>A005</t>
  </si>
  <si>
    <t>AG04</t>
  </si>
  <si>
    <t>C105</t>
  </si>
  <si>
    <t>A006</t>
  </si>
  <si>
    <t>C106</t>
  </si>
  <si>
    <t>A007</t>
  </si>
  <si>
    <t>C107</t>
  </si>
  <si>
    <t>A008</t>
  </si>
  <si>
    <t>C108</t>
  </si>
  <si>
    <t>A009</t>
  </si>
  <si>
    <t>C109</t>
  </si>
  <si>
    <t>A010</t>
  </si>
  <si>
    <t>AG05</t>
  </si>
  <si>
    <t>C110</t>
  </si>
  <si>
    <t>A011</t>
  </si>
  <si>
    <t>C111</t>
  </si>
  <si>
    <t>A012</t>
  </si>
  <si>
    <t>C112</t>
  </si>
  <si>
    <t>A013</t>
  </si>
  <si>
    <t>C113</t>
  </si>
  <si>
    <t>A014</t>
  </si>
  <si>
    <t>C114</t>
  </si>
  <si>
    <t>A015</t>
  </si>
  <si>
    <t>C115</t>
  </si>
  <si>
    <t>F001</t>
  </si>
  <si>
    <t>C201</t>
  </si>
  <si>
    <t>F002</t>
  </si>
  <si>
    <t>C202</t>
  </si>
  <si>
    <t>F003</t>
  </si>
  <si>
    <t>C203</t>
  </si>
  <si>
    <t>F004</t>
  </si>
  <si>
    <t>F005</t>
  </si>
  <si>
    <t>C204</t>
  </si>
  <si>
    <t>F006</t>
  </si>
  <si>
    <t>C205</t>
  </si>
  <si>
    <t>F007</t>
  </si>
  <si>
    <t>F008</t>
  </si>
  <si>
    <t>F009</t>
  </si>
  <si>
    <t>C206</t>
  </si>
  <si>
    <t>F010</t>
  </si>
  <si>
    <t>F011</t>
  </si>
  <si>
    <t>F012</t>
  </si>
  <si>
    <t>C207</t>
  </si>
  <si>
    <t>F013</t>
  </si>
  <si>
    <t>F014</t>
  </si>
  <si>
    <t>C208</t>
  </si>
  <si>
    <t>F015</t>
  </si>
  <si>
    <t>Panier moyen</t>
  </si>
  <si>
    <t>periode</t>
  </si>
  <si>
    <t>P001</t>
  </si>
  <si>
    <t>Avant Promo</t>
  </si>
  <si>
    <t>P002</t>
  </si>
  <si>
    <t>P003</t>
  </si>
  <si>
    <t>P004</t>
  </si>
  <si>
    <t>P005</t>
  </si>
  <si>
    <t>Promo</t>
  </si>
  <si>
    <t>P006</t>
  </si>
  <si>
    <t>P007</t>
  </si>
  <si>
    <t>C209</t>
  </si>
  <si>
    <t>P008</t>
  </si>
  <si>
    <t>C210</t>
  </si>
  <si>
    <t>Kintambo</t>
  </si>
  <si>
    <t>P009</t>
  </si>
  <si>
    <t>P010</t>
  </si>
  <si>
    <t>C211</t>
  </si>
  <si>
    <t>Bandalungwa</t>
  </si>
  <si>
    <t>P011</t>
  </si>
  <si>
    <t>P012</t>
  </si>
  <si>
    <t>C212</t>
  </si>
  <si>
    <t>Ngaliema</t>
  </si>
  <si>
    <t>P013</t>
  </si>
  <si>
    <t>Après Promo</t>
  </si>
  <si>
    <t>P014</t>
  </si>
  <si>
    <t>P015</t>
  </si>
  <si>
    <t>C213</t>
  </si>
  <si>
    <t>Selembao</t>
  </si>
  <si>
    <t>Question 1</t>
  </si>
  <si>
    <t>Question 2</t>
  </si>
  <si>
    <t>Question 3</t>
  </si>
  <si>
    <t xml:space="preserve">Question 4 </t>
  </si>
  <si>
    <t>Question 5</t>
  </si>
  <si>
    <t>Periodes</t>
  </si>
  <si>
    <t xml:space="preserve">Debut de l'analyse </t>
  </si>
  <si>
    <t>Question 1 : Quel est le chiffre d’affaires total ?</t>
  </si>
  <si>
    <t>Question 2 : Quelle commune vend le plus ?</t>
  </si>
  <si>
    <t>Question 3  : Quel produit rapporte le plus ?</t>
  </si>
  <si>
    <t>Question 4  : Quel canal semble le plus utilisé ?</t>
  </si>
  <si>
    <t>N°</t>
  </si>
  <si>
    <t>Je recommande :</t>
  </si>
  <si>
    <t>1. Le lancement d’actions promotionnelles ciblées dans ces zones</t>
  </si>
  <si>
    <t>2. Une analyse terrain sur la disponibilité des agents et points de vente</t>
  </si>
  <si>
    <t>3. Une enquête client pour identifier d’éventuels freins (prix, couverture réseau, concurrence)</t>
  </si>
  <si>
    <t>4. Un renforcement de la visibilité locale via SMS promotionnels ou activations terrain</t>
  </si>
  <si>
    <t>Remarques et avis personnels :</t>
  </si>
  <si>
    <r>
      <t xml:space="preserve">Après analyse, j’observe que les communes de </t>
    </r>
    <r>
      <rPr>
        <b/>
        <sz val="12"/>
        <color theme="1"/>
        <rFont val="Aptos Display"/>
        <family val="2"/>
      </rPr>
      <t>Limete (9 000 FC), Masina (10 000 FC) et Matete (11 000 FC)</t>
    </r>
    <r>
      <rPr>
        <sz val="12"/>
        <color theme="1"/>
        <rFont val="Aptos Display"/>
        <family val="2"/>
      </rPr>
      <t xml:space="preserve"> présentent une performance inférieure à celle de la Gombe.</t>
    </r>
  </si>
  <si>
    <t>Question 1 : Fréquence par client</t>
  </si>
  <si>
    <t xml:space="preserve">Calcul  frequence  clients </t>
  </si>
  <si>
    <t>Question 2 : Dépenses par client</t>
  </si>
  <si>
    <t>Canal préféré par client</t>
  </si>
  <si>
    <t>Question 3 : Canal préféré par client</t>
  </si>
  <si>
    <t>Dépenses client</t>
  </si>
  <si>
    <t>Question 4 : Détection comportement suspect</t>
  </si>
  <si>
    <r>
      <t xml:space="preserve">client avec plus de </t>
    </r>
    <r>
      <rPr>
        <b/>
        <sz val="11"/>
        <color theme="1"/>
        <rFont val="Aptos Narrow"/>
        <family val="2"/>
        <scheme val="minor"/>
      </rPr>
      <t xml:space="preserve">4 </t>
    </r>
    <r>
      <rPr>
        <b/>
        <sz val="14"/>
        <color theme="1"/>
        <rFont val="Aptos Narrow"/>
        <family val="2"/>
        <scheme val="minor"/>
      </rPr>
      <t>achats en 2  jours ou plus de 50 000 Fcde CA</t>
    </r>
  </si>
  <si>
    <t>Segmentation des clients</t>
  </si>
  <si>
    <t xml:space="preserve">Canal fav </t>
  </si>
  <si>
    <t>Dataset</t>
  </si>
  <si>
    <t>Question 1 : Pérformance agents</t>
  </si>
  <si>
    <t>Question 2 : Quelle zone rapporte le plus ?</t>
  </si>
  <si>
    <t xml:space="preserve">Performance communes			</t>
  </si>
  <si>
    <t>Question 3 : Quel produit fonctionne selon la zone ?</t>
  </si>
  <si>
    <t>Produit par zone</t>
  </si>
  <si>
    <r>
      <rPr>
        <b/>
        <sz val="11"/>
        <color theme="1"/>
        <rFont val="Aptos Narrow"/>
        <family val="2"/>
        <scheme val="minor"/>
      </rPr>
      <t xml:space="preserve">Note : </t>
    </r>
    <r>
      <rPr>
        <sz val="11"/>
        <color theme="1"/>
        <rFont val="Aptos Narrow"/>
        <family val="2"/>
        <scheme val="minor"/>
      </rPr>
      <t xml:space="preserve">Nous avons en vert l'(es) agent(s) performant(s) et plus nous tendons vers le rouge moins pérformant est l'agent </t>
    </r>
  </si>
  <si>
    <r>
      <rPr>
        <b/>
        <sz val="11"/>
        <color theme="1"/>
        <rFont val="Aptos Narrow"/>
        <family val="2"/>
        <scheme val="minor"/>
      </rPr>
      <t xml:space="preserve">Note : </t>
    </r>
    <r>
      <rPr>
        <sz val="11"/>
        <color theme="1"/>
        <rFont val="Aptos Narrow"/>
        <family val="2"/>
        <scheme val="minor"/>
      </rPr>
      <t xml:space="preserve">Nous avons en vert la(es) commune(s) performante(s) et plus nous tendons vers le rouge moins pérformant est la commune </t>
    </r>
  </si>
  <si>
    <r>
      <rPr>
        <b/>
        <sz val="11"/>
        <color theme="1"/>
        <rFont val="Aptos Narrow"/>
        <family val="2"/>
        <scheme val="minor"/>
      </rPr>
      <t xml:space="preserve">Note : </t>
    </r>
    <r>
      <rPr>
        <sz val="11"/>
        <color theme="1"/>
        <rFont val="Aptos Narrow"/>
        <family val="2"/>
        <scheme val="minor"/>
      </rPr>
      <t>Nous constatons que nos client de la commune de ndjili ainsi qu'une partie de la Gombe sont plus attirés par notre offre Data 10GB , Matete et une petite partie de la Gombe par Data 5GB , nos clients de masina ne jure que sur l'offr e SMS et Limete sur L'offre Voice</t>
    </r>
  </si>
  <si>
    <r>
      <rPr>
        <b/>
        <sz val="11"/>
        <color theme="1"/>
        <rFont val="Aptos Narrow"/>
        <family val="2"/>
        <scheme val="minor"/>
      </rPr>
      <t xml:space="preserve">Note : </t>
    </r>
    <r>
      <rPr>
        <sz val="11"/>
        <color theme="1"/>
        <rFont val="Aptos Narrow"/>
        <family val="2"/>
        <scheme val="minor"/>
      </rPr>
      <t xml:space="preserve">Nous avons en vert le client C001 qui est très active et plus nous tendons vers le blanc moins active est le client </t>
    </r>
  </si>
  <si>
    <r>
      <rPr>
        <b/>
        <sz val="11"/>
        <color theme="1"/>
        <rFont val="Aptos Narrow"/>
        <family val="2"/>
        <scheme val="minor"/>
      </rPr>
      <t xml:space="preserve">Note : </t>
    </r>
    <r>
      <rPr>
        <sz val="11"/>
        <color theme="1"/>
        <rFont val="Aptos Narrow"/>
        <family val="2"/>
        <scheme val="minor"/>
      </rPr>
      <t xml:space="preserve">Le client C001 est aussi celui qui nous depense le plus </t>
    </r>
  </si>
  <si>
    <r>
      <rPr>
        <b/>
        <sz val="11"/>
        <color theme="1"/>
        <rFont val="Aptos Narrow"/>
        <family val="2"/>
        <scheme val="minor"/>
      </rPr>
      <t xml:space="preserve">Note : </t>
    </r>
    <r>
      <rPr>
        <sz val="11"/>
        <color theme="1"/>
        <rFont val="Aptos Narrow"/>
        <family val="2"/>
        <scheme val="minor"/>
      </rPr>
      <t>La plupart de nos clients préfèrent payer leurs forfaits auprès de nos agents</t>
    </r>
  </si>
  <si>
    <r>
      <rPr>
        <b/>
        <sz val="11"/>
        <color theme="1"/>
        <rFont val="Aptos Narrow"/>
        <family val="2"/>
        <scheme val="minor"/>
      </rPr>
      <t xml:space="preserve">Note : </t>
    </r>
    <r>
      <rPr>
        <sz val="11"/>
        <color theme="1"/>
        <rFont val="Aptos Narrow"/>
        <family val="2"/>
        <scheme val="minor"/>
      </rPr>
      <t>Seul le client C001 présente des suspicions mais une analyse approfondie s'impose avant une quelconque conclusion</t>
    </r>
  </si>
  <si>
    <r>
      <rPr>
        <b/>
        <sz val="11"/>
        <color theme="1"/>
        <rFont val="Aptos Narrow"/>
        <family val="2"/>
        <scheme val="minor"/>
      </rPr>
      <t xml:space="preserve">Note : </t>
    </r>
    <r>
      <rPr>
        <sz val="11"/>
        <color theme="1"/>
        <rFont val="Aptos Narrow"/>
        <family val="2"/>
        <scheme val="minor"/>
      </rPr>
      <t>Notre chiffre d'affaires est à hauteur de 77000 FC et nous constatons par la même occasion que la dernière journée de vente aurait été très fructueuse</t>
    </r>
  </si>
  <si>
    <r>
      <rPr>
        <b/>
        <sz val="11"/>
        <color theme="1"/>
        <rFont val="Aptos Narrow"/>
        <family val="2"/>
        <scheme val="minor"/>
      </rPr>
      <t xml:space="preserve">Note : </t>
    </r>
    <r>
      <rPr>
        <sz val="11"/>
        <color theme="1"/>
        <rFont val="Aptos Narrow"/>
        <family val="2"/>
        <scheme val="minor"/>
      </rPr>
      <t>La commune de la Gombe est celle qui fait le plus grand CA</t>
    </r>
  </si>
  <si>
    <t>Chiffre d'affaire</t>
  </si>
  <si>
    <r>
      <rPr>
        <b/>
        <sz val="11"/>
        <color theme="1"/>
        <rFont val="Aptos Narrow"/>
        <family val="2"/>
        <scheme val="minor"/>
      </rPr>
      <t xml:space="preserve">Note :  </t>
    </r>
    <r>
      <rPr>
        <sz val="11"/>
        <color theme="1"/>
        <rFont val="Aptos Narrow"/>
        <family val="2"/>
        <scheme val="minor"/>
      </rPr>
      <t xml:space="preserve"> Notre offre Data 10GB est la plus rentable de tous</t>
    </r>
  </si>
  <si>
    <t>Classement agents</t>
  </si>
  <si>
    <t>Question 1 : Quels clients semblent les plus fidèles ?</t>
  </si>
  <si>
    <t>Fidelité  clients</t>
  </si>
  <si>
    <r>
      <t xml:space="preserve">Note : </t>
    </r>
    <r>
      <rPr>
        <sz val="11"/>
        <color theme="1"/>
        <rFont val="Aptos Narrow"/>
        <family val="2"/>
        <scheme val="minor"/>
      </rPr>
      <t>Nos clients les plus fidèles sont c201, C202, C203; le reste de clients présente malheureusement un profil "one shot"</t>
    </r>
  </si>
  <si>
    <t>Question 2 : Quelle commune fidélise le mieux ?</t>
  </si>
  <si>
    <t>Fidelisation commune</t>
  </si>
  <si>
    <t>Pourcentage de fidélisation</t>
  </si>
  <si>
    <t>Question 3 : Quel produit favorise le plus la récurrence ?</t>
  </si>
  <si>
    <t>Fréquence produit</t>
  </si>
  <si>
    <r>
      <rPr>
        <b/>
        <sz val="11"/>
        <color theme="1"/>
        <rFont val="Aptos Narrow"/>
        <family val="2"/>
        <scheme val="minor"/>
      </rPr>
      <t xml:space="preserve">Note : </t>
    </r>
    <r>
      <rPr>
        <sz val="11"/>
        <color theme="1"/>
        <rFont val="Aptos Narrow"/>
        <family val="2"/>
        <scheme val="minor"/>
      </rPr>
      <t>la majorité de nos clients opte pour le forfait mensuel Airbox de Data 10GB</t>
    </r>
  </si>
  <si>
    <r>
      <t xml:space="preserve">Remarque  : </t>
    </r>
    <r>
      <rPr>
        <sz val="11"/>
        <color theme="1"/>
        <rFont val="Aptos Narrow"/>
        <family val="2"/>
        <scheme val="minor"/>
      </rPr>
      <t>Alors, dans le souci d'améliorer notre taux de rétention ainsi que nos chiffres par la même occasion, je proposerai une campagne publicitaire bien ciblé, présentant nos autres offres tel que sms, Voice, leurs avantages ou utilités dans la vie courante, du cross-selling, ainsi qu'un petit sondage dans les zones masina, matete et ndjili histoire d'avoir un feedback du pourquoi le marché nous est capricieux dans ces dites zones Merci</t>
    </r>
  </si>
  <si>
    <r>
      <t xml:space="preserve">Note : </t>
    </r>
    <r>
      <rPr>
        <sz val="11"/>
        <color theme="1"/>
        <rFont val="Aptos Narrow"/>
        <family val="2"/>
        <scheme val="minor"/>
      </rPr>
      <t>Nous noterons également le taux de fidélisation élevé de la zone Gombe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</si>
</sst>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b/>
      <sz val="11"/>
      <color theme="0"/>
      <name val="Aptos Narrow"/>
      <family val="2"/>
      <scheme val="minor"/>
    </font>
    <font>
      <b/>
      <sz val="11"/>
      <color theme="1"/>
      <name val="Aptos Narrow"/>
      <family val="2"/>
      <scheme val="minor"/>
    </font>
    <font>
      <b/>
      <sz val="12"/>
      <color theme="1"/>
      <name val="Aptos Narrow"/>
      <family val="2"/>
      <scheme val="minor"/>
    </font>
    <font>
      <b/>
      <sz val="14"/>
      <color theme="1"/>
      <name val="Aptos Narrow"/>
      <family val="2"/>
      <scheme val="minor"/>
    </font>
    <font>
      <sz val="12"/>
      <color theme="1"/>
      <name val="Aptos Display"/>
      <family val="2"/>
    </font>
    <font>
      <b/>
      <sz val="12"/>
      <color theme="1"/>
      <name val="Aptos Display"/>
      <family val="2"/>
    </font>
    <font>
      <sz val="11"/>
      <color rgb="FFFF0000"/>
      <name val="Aptos Narrow"/>
      <family val="2"/>
      <scheme val="minor"/>
    </font>
    <font>
      <sz val="11"/>
      <color theme="1"/>
      <name val="Aptos Narrow"/>
      <family val="2"/>
      <scheme val="minor"/>
    </font>
  </fonts>
  <fills count="12">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theme="9" tint="0.39997558519241921"/>
        <bgColor indexed="64"/>
      </patternFill>
    </fill>
    <fill>
      <patternFill patternType="solid">
        <fgColor theme="0"/>
        <bgColor indexed="64"/>
      </patternFill>
    </fill>
    <fill>
      <patternFill patternType="solid">
        <fgColor theme="5"/>
        <bgColor indexed="64"/>
      </patternFill>
    </fill>
    <fill>
      <patternFill patternType="solid">
        <fgColor theme="9" tint="0.79998168889431442"/>
        <bgColor indexed="64"/>
      </patternFill>
    </fill>
    <fill>
      <patternFill patternType="solid">
        <fgColor rgb="FFFFFF00"/>
        <bgColor indexed="64"/>
      </patternFill>
    </fill>
    <fill>
      <patternFill patternType="solid">
        <fgColor theme="9" tint="0.59999389629810485"/>
        <bgColor indexed="64"/>
      </patternFill>
    </fill>
    <fill>
      <patternFill patternType="solid">
        <fgColor theme="9" tint="0.79998168889431442"/>
        <bgColor theme="4" tint="0.79998168889431442"/>
      </patternFill>
    </fill>
    <fill>
      <patternFill patternType="solid">
        <fgColor rgb="FF4DD36D"/>
        <bgColor theme="9" tint="0.39997558519241921"/>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8" fillId="0" borderId="0" applyFont="0" applyFill="0" applyBorder="0" applyAlignment="0" applyProtection="0"/>
  </cellStyleXfs>
  <cellXfs count="69">
    <xf numFmtId="0" fontId="0" fillId="0" borderId="0" xfId="0"/>
    <xf numFmtId="0" fontId="0" fillId="0" borderId="0" xfId="0" applyAlignment="1">
      <alignment horizontal="center" vertical="center" wrapText="1"/>
    </xf>
    <xf numFmtId="0" fontId="2" fillId="0" borderId="0" xfId="0" applyFont="1" applyAlignment="1">
      <alignment horizontal="center" vertical="center" wrapText="1"/>
    </xf>
    <xf numFmtId="0" fontId="0" fillId="0" borderId="0" xfId="0" applyAlignment="1">
      <alignment horizontal="right" vertical="center" wrapText="1"/>
    </xf>
    <xf numFmtId="0" fontId="2" fillId="0" borderId="0" xfId="0" applyFont="1" applyAlignment="1">
      <alignment horizontal="right" vertical="center" wrapText="1"/>
    </xf>
    <xf numFmtId="0" fontId="0" fillId="0" borderId="0" xfId="0" applyAlignment="1">
      <alignment vertical="center" wrapText="1"/>
    </xf>
    <xf numFmtId="14" fontId="0" fillId="0" borderId="0" xfId="0" applyNumberFormat="1"/>
    <xf numFmtId="14" fontId="0" fillId="0" borderId="0" xfId="0" applyNumberFormat="1" applyAlignment="1">
      <alignment vertical="center" wrapText="1"/>
    </xf>
    <xf numFmtId="0" fontId="0" fillId="0" borderId="0" xfId="0" pivotButton="1"/>
    <xf numFmtId="0" fontId="0" fillId="0" borderId="0" xfId="0" applyAlignment="1">
      <alignment horizontal="left"/>
    </xf>
    <xf numFmtId="0" fontId="0" fillId="0" borderId="0" xfId="0" applyNumberFormat="1"/>
    <xf numFmtId="0" fontId="0" fillId="0" borderId="0" xfId="0" applyAlignment="1">
      <alignment horizontal="center"/>
    </xf>
    <xf numFmtId="0" fontId="1" fillId="2" borderId="1" xfId="0" applyFont="1" applyFill="1" applyBorder="1" applyAlignment="1">
      <alignment horizontal="center" vertical="center" wrapText="1"/>
    </xf>
    <xf numFmtId="0" fontId="0" fillId="3" borderId="1" xfId="0" applyFont="1" applyFill="1" applyBorder="1" applyAlignment="1">
      <alignment vertical="center" wrapText="1"/>
    </xf>
    <xf numFmtId="0" fontId="0" fillId="0" borderId="1" xfId="0" applyFont="1" applyBorder="1" applyAlignment="1">
      <alignment vertical="center" wrapText="1"/>
    </xf>
    <xf numFmtId="0" fontId="0" fillId="4" borderId="0" xfId="0" applyFill="1" applyAlignment="1">
      <alignment horizontal="left"/>
    </xf>
    <xf numFmtId="0" fontId="0" fillId="4" borderId="0" xfId="0" applyNumberFormat="1" applyFill="1"/>
    <xf numFmtId="14" fontId="0" fillId="0" borderId="0" xfId="0" applyNumberFormat="1" applyAlignment="1">
      <alignment horizontal="left"/>
    </xf>
    <xf numFmtId="0" fontId="0" fillId="0" borderId="0" xfId="0" pivotButton="1" applyAlignment="1">
      <alignment horizontal="center"/>
    </xf>
    <xf numFmtId="0" fontId="0" fillId="0" borderId="0" xfId="0" applyAlignment="1">
      <alignment wrapText="1"/>
    </xf>
    <xf numFmtId="0" fontId="0" fillId="0" borderId="0" xfId="0" pivotButton="1" applyAlignment="1">
      <alignment wrapText="1"/>
    </xf>
    <xf numFmtId="0" fontId="0" fillId="5" borderId="0" xfId="0" applyNumberFormat="1" applyFill="1"/>
    <xf numFmtId="0" fontId="0" fillId="6" borderId="0" xfId="0" applyFill="1"/>
    <xf numFmtId="0" fontId="0" fillId="7" borderId="0" xfId="0" applyNumberFormat="1" applyFill="1"/>
    <xf numFmtId="0" fontId="2" fillId="0" borderId="0" xfId="0" applyFont="1"/>
    <xf numFmtId="0" fontId="2" fillId="0" borderId="0" xfId="0" applyFont="1" applyAlignment="1">
      <alignment wrapText="1"/>
    </xf>
    <xf numFmtId="0" fontId="0" fillId="7" borderId="0" xfId="0" applyFill="1"/>
    <xf numFmtId="0" fontId="2" fillId="7" borderId="0" xfId="0" applyFont="1" applyFill="1"/>
    <xf numFmtId="0" fontId="0" fillId="8" borderId="0" xfId="0" applyNumberFormat="1" applyFill="1"/>
    <xf numFmtId="0" fontId="2" fillId="8" borderId="0" xfId="0" applyFont="1" applyFill="1" applyAlignment="1">
      <alignment horizontal="left"/>
    </xf>
    <xf numFmtId="0" fontId="0" fillId="0" borderId="0" xfId="0" applyNumberFormat="1" applyAlignment="1">
      <alignment wrapText="1"/>
    </xf>
    <xf numFmtId="14" fontId="0" fillId="0" borderId="0" xfId="0" applyNumberFormat="1" applyAlignment="1">
      <alignment wrapText="1"/>
    </xf>
    <xf numFmtId="0" fontId="0" fillId="9" borderId="0" xfId="0" applyFill="1"/>
    <xf numFmtId="0" fontId="2" fillId="10" borderId="2" xfId="0" applyFont="1" applyFill="1" applyBorder="1"/>
    <xf numFmtId="0" fontId="0" fillId="0" borderId="0" xfId="0" applyAlignment="1">
      <alignment horizontal="center" vertical="center" wrapText="1"/>
    </xf>
    <xf numFmtId="0" fontId="4" fillId="0" borderId="0" xfId="0" applyFont="1" applyAlignment="1">
      <alignment horizontal="center" vertical="center" wrapText="1"/>
    </xf>
    <xf numFmtId="0" fontId="4" fillId="0" borderId="0" xfId="0" applyFont="1" applyAlignment="1">
      <alignment vertical="center" wrapText="1"/>
    </xf>
    <xf numFmtId="0" fontId="0" fillId="11" borderId="0" xfId="0" applyFill="1" applyAlignment="1"/>
    <xf numFmtId="0" fontId="0" fillId="0" borderId="0" xfId="0" applyAlignment="1">
      <alignment horizontal="left" vertical="center" indent="1"/>
    </xf>
    <xf numFmtId="0" fontId="5" fillId="0" borderId="0" xfId="0" applyFont="1" applyAlignment="1">
      <alignment horizontal="left" wrapText="1"/>
    </xf>
    <xf numFmtId="0" fontId="4" fillId="0" borderId="0" xfId="0" applyFont="1"/>
    <xf numFmtId="0" fontId="3" fillId="0" borderId="0" xfId="0" applyFont="1" applyAlignment="1">
      <alignment horizontal="left" vertical="center" indent="1"/>
    </xf>
    <xf numFmtId="0" fontId="4" fillId="0" borderId="0" xfId="0" applyFont="1" applyAlignment="1">
      <alignment horizontal="center" vertical="center" wrapText="1"/>
    </xf>
    <xf numFmtId="0" fontId="2" fillId="3" borderId="0" xfId="0" applyFont="1" applyFill="1"/>
    <xf numFmtId="0" fontId="2" fillId="3" borderId="2" xfId="0" applyFont="1" applyFill="1" applyBorder="1" applyAlignment="1">
      <alignment horizontal="center"/>
    </xf>
    <xf numFmtId="0" fontId="4" fillId="3" borderId="3" xfId="0" applyFont="1" applyFill="1" applyBorder="1" applyAlignment="1">
      <alignment horizontal="center" vertical="center" wrapText="1"/>
    </xf>
    <xf numFmtId="0" fontId="7" fillId="0" borderId="0" xfId="0" applyNumberFormat="1" applyFont="1"/>
    <xf numFmtId="0" fontId="7" fillId="5" borderId="0" xfId="0" applyNumberFormat="1" applyFont="1" applyFill="1"/>
    <xf numFmtId="0" fontId="2" fillId="0" borderId="0" xfId="0" applyFont="1" applyAlignment="1">
      <alignment horizontal="center"/>
    </xf>
    <xf numFmtId="0" fontId="0" fillId="0" borderId="0" xfId="0" applyAlignment="1">
      <alignment horizontal="center"/>
    </xf>
    <xf numFmtId="0" fontId="4" fillId="0" borderId="0" xfId="0" applyFont="1" applyAlignment="1">
      <alignment horizontal="center" vertical="center" wrapText="1"/>
    </xf>
    <xf numFmtId="0" fontId="0" fillId="0" borderId="0" xfId="0" applyAlignment="1">
      <alignment horizontal="center" vertical="center" wrapText="1"/>
    </xf>
    <xf numFmtId="0" fontId="4" fillId="0" borderId="0" xfId="0" applyFont="1" applyAlignment="1">
      <alignment horizontal="left"/>
    </xf>
    <xf numFmtId="0" fontId="5" fillId="0" borderId="0" xfId="0" applyFont="1" applyAlignment="1">
      <alignment horizontal="left" wrapText="1"/>
    </xf>
    <xf numFmtId="0" fontId="4" fillId="0" borderId="4" xfId="0" applyFont="1" applyBorder="1" applyAlignment="1">
      <alignment horizontal="center"/>
    </xf>
    <xf numFmtId="0" fontId="2" fillId="0" borderId="4" xfId="0" applyFont="1" applyBorder="1" applyAlignment="1">
      <alignment horizontal="center"/>
    </xf>
    <xf numFmtId="0" fontId="4" fillId="0" borderId="0" xfId="0" applyFont="1" applyAlignment="1">
      <alignment horizontal="left" vertical="center" wrapText="1"/>
    </xf>
    <xf numFmtId="0" fontId="4" fillId="0" borderId="0" xfId="0" applyFont="1" applyAlignment="1">
      <alignment horizontal="left" vertical="center" wrapText="1" indent="1"/>
    </xf>
    <xf numFmtId="0" fontId="0" fillId="0" borderId="0" xfId="0" applyNumberFormat="1" applyAlignment="1">
      <alignment horizontal="left" wrapText="1"/>
    </xf>
    <xf numFmtId="0" fontId="0" fillId="0" borderId="0" xfId="0" applyNumberFormat="1" applyFont="1"/>
    <xf numFmtId="0" fontId="0" fillId="0" borderId="0" xfId="0" applyNumberFormat="1" applyFont="1" applyAlignment="1">
      <alignment horizontal="left" vertical="center" wrapText="1"/>
    </xf>
    <xf numFmtId="0" fontId="0" fillId="0" borderId="0" xfId="0" applyNumberFormat="1" applyFont="1" applyAlignment="1">
      <alignment vertical="center" wrapText="1"/>
    </xf>
    <xf numFmtId="0" fontId="2" fillId="0" borderId="0" xfId="0" applyFont="1" applyAlignment="1">
      <alignment horizontal="left" wrapText="1"/>
    </xf>
    <xf numFmtId="0" fontId="0" fillId="0" borderId="0" xfId="0" applyNumberFormat="1" applyAlignment="1">
      <alignment horizontal="left"/>
    </xf>
    <xf numFmtId="0" fontId="2" fillId="0" borderId="0" xfId="0" applyFont="1" applyAlignment="1">
      <alignment horizontal="left" wrapText="1"/>
    </xf>
    <xf numFmtId="0" fontId="2" fillId="0" borderId="0" xfId="0" applyFont="1" applyAlignment="1"/>
    <xf numFmtId="0" fontId="2" fillId="3" borderId="2" xfId="0" applyFont="1" applyFill="1" applyBorder="1" applyAlignment="1">
      <alignment wrapText="1"/>
    </xf>
    <xf numFmtId="9" fontId="0" fillId="0" borderId="0" xfId="1" applyFont="1"/>
    <xf numFmtId="9" fontId="2" fillId="3" borderId="3" xfId="1" applyFont="1" applyFill="1" applyBorder="1"/>
  </cellXfs>
  <cellStyles count="2">
    <cellStyle name="Normal" xfId="0" builtinId="0"/>
    <cellStyle name="Pourcentage" xfId="1" builtinId="5"/>
  </cellStyles>
  <dxfs count="191">
    <dxf>
      <font>
        <color theme="1"/>
      </font>
    </dxf>
    <dxf>
      <fill>
        <patternFill patternType="none">
          <bgColor auto="1"/>
        </patternFill>
      </fill>
    </dxf>
    <dxf>
      <font>
        <color rgb="FF006100"/>
      </font>
      <fill>
        <patternFill>
          <bgColor rgb="FFC6EFCE"/>
        </patternFill>
      </fill>
    </dxf>
    <dxf>
      <font>
        <color rgb="FF9C0006"/>
      </font>
      <fill>
        <patternFill>
          <bgColor rgb="FFFFC7CE"/>
        </patternFill>
      </fill>
    </dxf>
    <dxf>
      <font>
        <color theme="1"/>
      </font>
    </dxf>
    <dxf>
      <fill>
        <patternFill patternType="none">
          <bgColor auto="1"/>
        </patternFill>
      </fill>
    </dxf>
    <dxf>
      <font>
        <color rgb="FF006100"/>
      </font>
      <fill>
        <patternFill>
          <bgColor rgb="FFC6EFCE"/>
        </patternFill>
      </fill>
    </dxf>
    <dxf>
      <font>
        <color rgb="FF9C0006"/>
      </font>
      <fill>
        <patternFill>
          <bgColor rgb="FFFFC7CE"/>
        </patternFill>
      </fill>
    </dxf>
    <dxf>
      <font>
        <color theme="1"/>
      </font>
    </dxf>
    <dxf>
      <fill>
        <patternFill patternType="none">
          <bgColor auto="1"/>
        </patternFill>
      </fill>
    </dxf>
    <dxf>
      <font>
        <color rgb="FF006100"/>
      </font>
      <fill>
        <patternFill>
          <bgColor rgb="FFC6EFCE"/>
        </patternFill>
      </fill>
    </dxf>
    <dxf>
      <font>
        <color rgb="FF9C0006"/>
      </font>
      <fill>
        <patternFill>
          <bgColor rgb="FFFFC7CE"/>
        </patternFill>
      </fill>
    </dxf>
    <dxf>
      <font>
        <color theme="1"/>
      </font>
    </dxf>
    <dxf>
      <fill>
        <patternFill patternType="none">
          <bgColor auto="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alignment wrapText="1"/>
    </dxf>
    <dxf>
      <alignment wrapText="1"/>
    </dxf>
    <dxf>
      <fill>
        <patternFill patternType="none">
          <fgColor indexed="64"/>
          <bgColor indexed="65"/>
        </patternFill>
      </fill>
    </dxf>
    <dxf>
      <alignment wrapText="1"/>
    </dxf>
    <dxf>
      <alignment wrapText="1"/>
    </dxf>
    <dxf>
      <fill>
        <patternFill patternType="none">
          <fgColor indexed="64"/>
          <bgColor indexed="65"/>
        </patternFill>
      </fill>
    </dxf>
    <dxf>
      <alignment wrapText="1"/>
    </dxf>
    <dxf>
      <alignment wrapText="1"/>
    </dxf>
    <dxf>
      <fill>
        <patternFill>
          <bgColor auto="1"/>
        </patternFill>
      </fill>
    </dxf>
    <dxf>
      <fill>
        <patternFill patternType="solid">
          <bgColor theme="9" tint="0.79998168889431442"/>
        </patternFill>
      </fill>
    </dxf>
    <dxf>
      <fill>
        <patternFill patternType="none">
          <fgColor indexed="64"/>
          <bgColor indexed="65"/>
        </patternFill>
      </fill>
    </dxf>
    <dxf>
      <fill>
        <patternFill patternType="none">
          <bgColor auto="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auto="1"/>
        </patternFill>
      </fill>
    </dxf>
    <dxf>
      <alignment wrapText="1"/>
    </dxf>
    <dxf>
      <alignment wrapText="1"/>
    </dxf>
    <dxf>
      <alignment horizontal="left"/>
    </dxf>
    <dxf>
      <alignment wrapText="1"/>
    </dxf>
    <dxf>
      <alignment wrapText="1"/>
    </dxf>
    <dxf>
      <alignment wrapText="1"/>
    </dxf>
    <dxf>
      <alignment wrapText="1"/>
    </dxf>
    <dxf>
      <alignment horizontal="general" vertical="bottom" textRotation="0" wrapText="0" indent="0" justifyLastLine="0" shrinkToFit="0" readingOrder="0"/>
    </dxf>
    <dxf>
      <numFmt numFmtId="19" formatCode="dd/mm/yyyy"/>
    </dxf>
    <dxf>
      <numFmt numFmtId="0" formatCode="General"/>
    </dxf>
    <dxf>
      <numFmt numFmtId="0" formatCode="General"/>
    </dxf>
    <dxf>
      <numFmt numFmtId="0" formatCode="General"/>
    </dxf>
    <dxf>
      <numFmt numFmtId="0" formatCode="General"/>
    </dxf>
    <dxf>
      <numFmt numFmtId="19" formatCode="dd/mm/yyyy"/>
    </dxf>
    <dxf>
      <numFmt numFmtId="0" formatCode="General"/>
    </dxf>
    <dxf>
      <alignment horizontal="general" vertical="bottom" textRotation="0" wrapText="1" indent="0" justifyLastLine="0" shrinkToFit="0" readingOrder="0"/>
    </dxf>
    <dxf>
      <fill>
        <patternFill patternType="solid">
          <bgColor theme="9" tint="0.79998168889431442"/>
        </patternFill>
      </fill>
    </dxf>
    <dxf>
      <alignment wrapText="1"/>
    </dxf>
    <dxf>
      <alignment wrapText="1"/>
    </dxf>
    <dxf>
      <alignment wrapText="1"/>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alignment wrapText="1"/>
    </dxf>
    <dxf>
      <alignment wrapText="1"/>
    </dxf>
    <dxf>
      <alignment wrapText="1"/>
    </dxf>
    <dxf>
      <fill>
        <patternFill patternType="solid">
          <bgColor rgb="FFFFFF00"/>
        </patternFill>
      </fill>
    </dxf>
    <dxf>
      <fill>
        <patternFill patternType="solid">
          <bgColor theme="9" tint="0.79998168889431442"/>
        </patternFill>
      </fill>
    </dxf>
    <dxf>
      <fill>
        <patternFill patternType="solid">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alignment wrapText="1"/>
    </dxf>
    <dxf>
      <alignment wrapText="1"/>
    </dxf>
    <dxf>
      <fill>
        <patternFill patternType="solid">
          <fgColor indexed="64"/>
          <bgColor theme="9" tint="0.59999389629810485"/>
        </patternFill>
      </fill>
    </dxf>
    <dxf>
      <fill>
        <patternFill patternType="solid">
          <bgColor theme="9" tint="0.79998168889431442"/>
        </patternFill>
      </fill>
    </dxf>
    <dxf>
      <fill>
        <patternFill patternType="solid">
          <bgColor theme="9" tint="0.59999389629810485"/>
        </patternFill>
      </fill>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0"/>
        </patternFill>
      </fill>
    </dxf>
    <dxf>
      <alignment wrapText="1"/>
    </dxf>
    <dxf>
      <alignment wrapText="1"/>
    </dxf>
    <dxf>
      <alignment wrapText="1"/>
    </dxf>
    <dxf>
      <alignment wrapText="1"/>
    </dxf>
    <dxf>
      <alignment wrapText="1"/>
    </dxf>
    <dxf>
      <alignment wrapText="1"/>
    </dxf>
    <dxf>
      <font>
        <b/>
        <i val="0"/>
        <strike val="0"/>
        <condense val="0"/>
        <extend val="0"/>
        <outline val="0"/>
        <shadow val="0"/>
        <u val="none"/>
        <vertAlign val="baseline"/>
        <sz val="11"/>
        <color theme="1"/>
        <name val="Aptos Narrow"/>
        <family val="2"/>
        <scheme val="minor"/>
      </font>
      <alignment horizontal="general" vertical="bottom" textRotation="0" wrapText="1" indent="0" justifyLastLine="0" shrinkToFit="0" readingOrder="0"/>
    </dxf>
    <dxf>
      <numFmt numFmtId="0" formatCode="General"/>
    </dxf>
    <dxf>
      <numFmt numFmtId="0" formatCode="General"/>
    </dxf>
    <dxf>
      <numFmt numFmtId="0" formatCode="General"/>
    </dxf>
    <dxf>
      <numFmt numFmtId="19" formatCode="dd/mm/yyyy"/>
    </dxf>
    <dxf>
      <numFmt numFmtId="0" formatCode="General"/>
    </dxf>
    <dxf>
      <alignment wrapText="1"/>
    </dxf>
    <dxf>
      <alignment wrapText="1"/>
    </dxf>
    <dxf>
      <alignment wrapText="1"/>
    </dxf>
    <dxf>
      <alignment wrapText="1"/>
    </dxf>
    <dxf>
      <alignment wrapText="1"/>
    </dxf>
    <dxf>
      <alignment wrapText="1"/>
    </dxf>
    <dxf>
      <numFmt numFmtId="0" formatCode="General"/>
    </dxf>
    <dxf>
      <numFmt numFmtId="0" formatCode="General"/>
    </dxf>
    <dxf>
      <numFmt numFmtId="0" formatCode="General"/>
    </dxf>
    <dxf>
      <numFmt numFmtId="0" formatCode="General"/>
    </dxf>
    <dxf>
      <numFmt numFmtId="19" formatCode="dd/mm/yyyy"/>
    </dxf>
    <dxf>
      <numFmt numFmtId="0" formatCode="General"/>
    </dxf>
    <dxf>
      <fill>
        <patternFill>
          <bgColor rgb="FFF2C4CB"/>
        </patternFill>
      </fill>
    </dxf>
    <dxf>
      <fill>
        <patternFill patternType="solid">
          <bgColor theme="5" tint="0.59999389629810485"/>
        </patternFill>
      </fill>
    </dxf>
    <dxf>
      <fill>
        <patternFill patternType="none">
          <fgColor indexed="64"/>
          <bgColor indexed="65"/>
        </patternFill>
      </fill>
      <alignment horizontal="general" vertical="bottom" textRotation="0" wrapText="0" indent="0" justifyLastLine="0" shrinkToFit="0" readingOrder="0"/>
    </dxf>
    <dxf>
      <alignment wrapText="1"/>
    </dxf>
    <dxf>
      <alignment wrapText="1"/>
    </dxf>
    <dxf>
      <numFmt numFmtId="0" formatCode="General"/>
    </dxf>
    <dxf>
      <numFmt numFmtId="0" formatCode="General"/>
    </dxf>
    <dxf>
      <numFmt numFmtId="0" formatCode="General"/>
    </dxf>
    <dxf>
      <numFmt numFmtId="0" formatCode="General"/>
    </dxf>
    <dxf>
      <numFmt numFmtId="19" formatCode="dd/mm/yyyy"/>
    </dxf>
    <dxf>
      <numFmt numFmtId="0" formatCode="General"/>
    </dxf>
    <dxf>
      <alignment horizontal="center"/>
    </dxf>
    <dxf>
      <alignment horizontal="center"/>
    </dxf>
    <dxf>
      <font>
        <color rgb="FFFF0000"/>
      </font>
    </dxf>
    <dxf>
      <font>
        <color rgb="FFFF0000"/>
      </font>
    </dxf>
    <dxf>
      <fill>
        <patternFill>
          <bgColor theme="0"/>
        </patternFill>
      </fill>
    </dxf>
    <dxf>
      <font>
        <color rgb="FFFF0000"/>
      </font>
    </dxf>
    <dxf>
      <font>
        <color rgb="FFFF0000"/>
      </font>
    </dxf>
    <dxf>
      <fill>
        <patternFill patternType="solid">
          <fgColor indexed="64"/>
          <bgColor theme="5" tint="0.39997558519241921"/>
        </patternFill>
      </fill>
    </dxf>
    <dxf>
      <fill>
        <patternFill patternType="solid">
          <fgColor indexed="64"/>
          <bgColor theme="5" tint="-0.249977111117893"/>
        </patternFill>
      </fill>
    </dxf>
    <dxf>
      <fill>
        <patternFill patternType="solid">
          <fgColor indexed="64"/>
          <bgColor theme="5" tint="0.79998168889431442"/>
        </patternFill>
      </fill>
    </dxf>
    <dxf>
      <fill>
        <patternFill patternType="solid">
          <bgColor theme="5" tint="0.39997558519241921"/>
        </patternFill>
      </fill>
    </dxf>
    <dxf>
      <fill>
        <patternFill patternType="solid">
          <bgColor theme="5" tint="-0.249977111117893"/>
        </patternFill>
      </fill>
    </dxf>
    <dxf>
      <fill>
        <patternFill patternType="solid">
          <bgColor theme="5" tint="0.79998168889431442"/>
        </patternFill>
      </fill>
    </dxf>
    <dxf>
      <fill>
        <patternFill patternType="solid">
          <bgColor theme="5" tint="0.39997558519241921"/>
        </patternFill>
      </fill>
    </dxf>
    <dxf>
      <fill>
        <patternFill patternType="solid">
          <fgColor indexed="64"/>
          <bgColor theme="5"/>
        </patternFill>
      </fill>
    </dxf>
    <dxf>
      <fill>
        <patternFill patternType="solid">
          <bgColor theme="5"/>
        </patternFill>
      </fill>
    </dxf>
    <dxf>
      <fill>
        <patternFill>
          <bgColor theme="0"/>
        </patternFill>
      </fill>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9" tint="0.39997558519241921"/>
        </patternFill>
      </fill>
    </dxf>
    <dxf>
      <alignment horizontal="center"/>
    </dxf>
    <dxf>
      <alignment horizontal="center"/>
    </dxf>
    <dxf>
      <alignment horizontal="center"/>
    </dxf>
    <dxf>
      <alignment horizontal="general" vertical="center" textRotation="0" wrapText="1" indent="0" justifyLastLine="0" shrinkToFit="0" readingOrder="0"/>
    </dxf>
    <dxf>
      <alignment horizontal="right"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numFmt numFmtId="19" formatCode="dd/mm/yyyy"/>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ill>
        <patternFill patternType="solid">
          <fgColor indexed="64"/>
          <bgColor theme="9" tint="0.39997558519241921"/>
        </patternFill>
      </fill>
    </dxf>
    <dxf>
      <fill>
        <patternFill patternType="solid">
          <fgColor indexed="64"/>
          <bgColor theme="9" tint="0.39997558519241921"/>
        </patternFill>
      </fill>
    </dxf>
    <dxf>
      <fill>
        <patternFill patternType="solid">
          <fgColor indexed="64"/>
          <bgColor theme="9" tint="0.39997558519241921"/>
        </patternFill>
      </fill>
    </dxf>
    <dxf>
      <fill>
        <patternFill patternType="solid">
          <fgColor indexed="64"/>
          <bgColor theme="9" tint="0.39997558519241921"/>
        </patternFill>
      </fill>
    </dxf>
    <dxf>
      <fill>
        <patternFill>
          <bgColor rgb="FF4DD36D"/>
        </patternFill>
      </fill>
    </dxf>
    <dxf>
      <fill>
        <patternFill>
          <bgColor theme="0"/>
        </patternFill>
      </fill>
    </dxf>
    <dxf>
      <fill>
        <patternFill>
          <fgColor theme="9" tint="0.39997558519241921"/>
        </patternFill>
      </fill>
      <alignment horizontal="general" vertical="bottom" textRotation="0" wrapText="0" indent="0" justifyLastLine="0" shrinkToFit="0" readingOrder="0"/>
    </dxf>
    <dxf>
      <fill>
        <patternFill>
          <bgColor theme="9" tint="0.79998168889431442"/>
        </patternFill>
      </fill>
    </dxf>
    <dxf>
      <fill>
        <patternFill patternType="solid">
          <bgColor theme="9" tint="0.39997558519241921"/>
        </patternFill>
      </fill>
    </dxf>
    <dxf>
      <fill>
        <patternFill patternType="solid">
          <bgColor theme="9" tint="0.39997558519241921"/>
        </patternFill>
      </fill>
    </dxf>
  </dxfs>
  <tableStyles count="0" defaultTableStyle="TableStyleMedium2" defaultPivotStyle="PivotStyleLight16"/>
  <colors>
    <mruColors>
      <color rgb="FF4DD36D"/>
      <color rgb="FFF2C4CB"/>
      <color rgb="FFF7ADE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microsoft.com/office/2007/relationships/slicerCache" Target="slicerCaches/slicerCache1.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5.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4.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pivotCacheDefinition" Target="pivotCache/pivotCacheDefinition3.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85</xdr:row>
      <xdr:rowOff>0</xdr:rowOff>
    </xdr:from>
    <xdr:to>
      <xdr:col>7</xdr:col>
      <xdr:colOff>250824</xdr:colOff>
      <xdr:row>89</xdr:row>
      <xdr:rowOff>179917</xdr:rowOff>
    </xdr:to>
    <mc:AlternateContent xmlns:mc="http://schemas.openxmlformats.org/markup-compatibility/2006" xmlns:a14="http://schemas.microsoft.com/office/drawing/2010/main">
      <mc:Choice Requires="a14">
        <xdr:graphicFrame macro="">
          <xdr:nvGraphicFramePr>
            <xdr:cNvPr id="3" name="client_id">
              <a:extLst>
                <a:ext uri="{FF2B5EF4-FFF2-40B4-BE49-F238E27FC236}">
                  <a16:creationId xmlns:a16="http://schemas.microsoft.com/office/drawing/2014/main" id="{4DED01A4-4BA1-A9ED-B9F6-E3E0921D801B}"/>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client_id"/>
            </a:graphicData>
          </a:graphic>
        </xdr:graphicFrame>
      </mc:Choice>
      <mc:Fallback xmlns="">
        <xdr:sp macro="" textlink="">
          <xdr:nvSpPr>
            <xdr:cNvPr id="0" name=""/>
            <xdr:cNvSpPr>
              <a:spLocks noTextEdit="1"/>
            </xdr:cNvSpPr>
          </xdr:nvSpPr>
          <xdr:spPr>
            <a:xfrm>
              <a:off x="476250" y="18796000"/>
              <a:ext cx="6117166" cy="941917"/>
            </a:xfrm>
            <a:prstGeom prst="rect">
              <a:avLst/>
            </a:prstGeom>
            <a:solidFill>
              <a:prstClr val="white"/>
            </a:solidFill>
            <a:ln w="1">
              <a:solidFill>
                <a:prstClr val="green"/>
              </a:solidFill>
            </a:ln>
          </xdr:spPr>
          <xdr:txBody>
            <a:bodyPr vertOverflow="clip" horzOverflow="clip"/>
            <a:lstStyle/>
            <a:p>
              <a:r>
                <a:rPr lang="fr-CD" sz="1100"/>
                <a:t>Cette forme représente un segment. Les segments sont pris en charge dans Excel 2010 ou version ultérieure.
En revanche, si la forme a été modifiée dans une version précédente d’Excel, ou si le classeur a été enregistré dans Excel 2003 ou une version précédente, vous ne pouvez pas utiliser le segment.</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a Bkg" refreshedDate="46158.521659143516" createdVersion="8" refreshedVersion="8" minRefreshableVersion="3" recordCount="10" xr:uid="{710D6794-99C5-492F-9A04-4D9695726E98}">
  <cacheSource type="worksheet">
    <worksheetSource name="Tableau1"/>
  </cacheSource>
  <cacheFields count="7">
    <cacheField name="transaction_id" numFmtId="0">
      <sharedItems count="10">
        <s v="T001"/>
        <s v="T002"/>
        <s v="T003"/>
        <s v="T004"/>
        <s v="T005"/>
        <s v="T006"/>
        <s v="T007"/>
        <s v="T008"/>
        <s v="T009"/>
        <s v="T010"/>
      </sharedItems>
    </cacheField>
    <cacheField name="date" numFmtId="14">
      <sharedItems containsSemiMixedTypes="0" containsNonDate="0" containsDate="1" containsString="0" minDate="2026-05-01T00:00:00" maxDate="2026-05-04T00:00:00" count="3">
        <d v="2026-05-01T00:00:00"/>
        <d v="2026-05-02T00:00:00"/>
        <d v="2026-05-03T00:00:00"/>
      </sharedItems>
    </cacheField>
    <cacheField name="client_id" numFmtId="0">
      <sharedItems/>
    </cacheField>
    <cacheField name="commune" numFmtId="0">
      <sharedItems count="5">
        <s v="Gombe"/>
        <s v="Limete"/>
        <s v="Matete"/>
        <s v="Ndjili"/>
        <s v="Masina"/>
      </sharedItems>
    </cacheField>
    <cacheField name="produit" numFmtId="0">
      <sharedItems count="4">
        <s v="Data 5GB"/>
        <s v="Voice"/>
        <s v="SMS"/>
        <s v="Data 10GB"/>
      </sharedItems>
    </cacheField>
    <cacheField name="montant_fc" numFmtId="0">
      <sharedItems containsSemiMixedTypes="0" containsString="0" containsNumber="1" containsInteger="1" minValue="1000" maxValue="18000" count="4">
        <n v="10000"/>
        <n v="3000"/>
        <n v="1000"/>
        <n v="18000"/>
      </sharedItems>
    </cacheField>
    <cacheField name="canal" numFmtId="0">
      <sharedItems count="3">
        <s v="Mobile Money"/>
        <s v="USSD"/>
        <s v="Agent"/>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a Bkg" refreshedDate="46158.661696527779" createdVersion="8" refreshedVersion="8" minRefreshableVersion="3" recordCount="15" xr:uid="{2D34C118-97FB-4405-B3BC-E07CF50CB79E}">
  <cacheSource type="worksheet">
    <worksheetSource name="Dataset_day2__2"/>
  </cacheSource>
  <cacheFields count="7">
    <cacheField name="transaction_id" numFmtId="0">
      <sharedItems count="15">
        <s v="T011"/>
        <s v="T012"/>
        <s v="T013"/>
        <s v="T014"/>
        <s v="T015"/>
        <s v="T016"/>
        <s v="T017"/>
        <s v="T018"/>
        <s v="T019"/>
        <s v="T020"/>
        <s v="T021"/>
        <s v="T022"/>
        <s v="T023"/>
        <s v="T024"/>
        <s v="T025"/>
      </sharedItems>
    </cacheField>
    <cacheField name="date" numFmtId="14">
      <sharedItems containsSemiMixedTypes="0" containsNonDate="0" containsDate="1" containsString="0" minDate="2026-05-04T00:00:00" maxDate="2026-05-07T00:00:00" count="3">
        <d v="2026-05-04T00:00:00"/>
        <d v="2026-05-05T00:00:00"/>
        <d v="2026-05-06T00:00:00"/>
      </sharedItems>
    </cacheField>
    <cacheField name="client_id" numFmtId="0">
      <sharedItems count="8">
        <s v="C001"/>
        <s v="C002"/>
        <s v="C009"/>
        <s v="C010"/>
        <s v="C011"/>
        <s v="C012"/>
        <s v="C013"/>
        <s v="C014"/>
      </sharedItems>
    </cacheField>
    <cacheField name="commune" numFmtId="0">
      <sharedItems/>
    </cacheField>
    <cacheField name="produit" numFmtId="0">
      <sharedItems/>
    </cacheField>
    <cacheField name="montant_fc" numFmtId="0">
      <sharedItems containsSemiMixedTypes="0" containsString="0" containsNumber="1" containsInteger="1" minValue="1000" maxValue="18000" count="4">
        <n v="18000"/>
        <n v="3000"/>
        <n v="10000"/>
        <n v="1000"/>
      </sharedItems>
    </cacheField>
    <cacheField name="canal" numFmtId="0">
      <sharedItems count="3">
        <s v="Mobile Money"/>
        <s v="USSD"/>
        <s v="Agent"/>
      </sharedItems>
    </cacheField>
  </cacheFields>
  <extLst>
    <ext xmlns:x14="http://schemas.microsoft.com/office/spreadsheetml/2009/9/main" uri="{725AE2AE-9491-48be-B2B4-4EB974FC3084}">
      <x14:pivotCacheDefinition pivotCacheId="1733318224"/>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a Bkg" refreshedDate="46158.940635185187" createdVersion="8" refreshedVersion="8" minRefreshableVersion="3" recordCount="15" xr:uid="{57E839B3-BF6A-413A-8D50-654B92772140}">
  <cacheSource type="worksheet">
    <worksheetSource name="Dataset_day3"/>
  </cacheSource>
  <cacheFields count="7">
    <cacheField name="transaction_id" numFmtId="0">
      <sharedItems/>
    </cacheField>
    <cacheField name="date" numFmtId="14">
      <sharedItems containsSemiMixedTypes="0" containsNonDate="0" containsDate="1" containsString="0" minDate="2026-05-07T00:00:00" maxDate="2026-05-10T00:00:00"/>
    </cacheField>
    <cacheField name="agent_id" numFmtId="0">
      <sharedItems count="5">
        <s v="AG01"/>
        <s v="AG02"/>
        <s v="AG03"/>
        <s v="AG04"/>
        <s v="AG05"/>
      </sharedItems>
    </cacheField>
    <cacheField name="client_id" numFmtId="0">
      <sharedItems/>
    </cacheField>
    <cacheField name="commune" numFmtId="0">
      <sharedItems count="5">
        <s v="Gombe"/>
        <s v="Limete"/>
        <s v="Masina"/>
        <s v="Ndjili"/>
        <s v="Matete"/>
      </sharedItems>
    </cacheField>
    <cacheField name="produit" numFmtId="0">
      <sharedItems count="4">
        <s v="Data 10GB"/>
        <s v="Voice"/>
        <s v="Data 5GB"/>
        <s v="SMS"/>
      </sharedItems>
    </cacheField>
    <cacheField name="montant_fc" numFmtId="0">
      <sharedItems containsSemiMixedTypes="0" containsString="0" containsNumber="1" containsInteger="1" minValue="1000" maxValue="18000"/>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a Bkg" refreshedDate="46159.033003819444" createdVersion="8" refreshedVersion="8" minRefreshableVersion="3" recordCount="15" xr:uid="{29286CAF-4DFA-4B3C-8B4D-D2E263CF1F65}">
  <cacheSource type="worksheet">
    <worksheetSource name="Dataset_day4"/>
  </cacheSource>
  <cacheFields count="6">
    <cacheField name="transaction_id" numFmtId="0">
      <sharedItems count="15">
        <s v="F001"/>
        <s v="F002"/>
        <s v="F003"/>
        <s v="F004"/>
        <s v="F005"/>
        <s v="F006"/>
        <s v="F007"/>
        <s v="F008"/>
        <s v="F009"/>
        <s v="F010"/>
        <s v="F011"/>
        <s v="F012"/>
        <s v="F013"/>
        <s v="F014"/>
        <s v="F015"/>
      </sharedItems>
    </cacheField>
    <cacheField name="date" numFmtId="14">
      <sharedItems containsSemiMixedTypes="0" containsNonDate="0" containsDate="1" containsString="0" minDate="2026-05-10T00:00:00" maxDate="2026-05-15T00:00:00"/>
    </cacheField>
    <cacheField name="client_id" numFmtId="0">
      <sharedItems count="8">
        <s v="C201"/>
        <s v="C202"/>
        <s v="C203"/>
        <s v="C204"/>
        <s v="C205"/>
        <s v="C206"/>
        <s v="C207"/>
        <s v="C208"/>
      </sharedItems>
    </cacheField>
    <cacheField name="commune" numFmtId="0">
      <sharedItems count="5">
        <s v="Gombe"/>
        <s v="Limete"/>
        <s v="Matete"/>
        <s v="Masina"/>
        <s v="Ndjili"/>
      </sharedItems>
    </cacheField>
    <cacheField name="produit" numFmtId="0">
      <sharedItems count="4">
        <s v="Data 10GB"/>
        <s v="Voice"/>
        <s v="Data 5GB"/>
        <s v="SMS"/>
      </sharedItems>
    </cacheField>
    <cacheField name="montant_fc" numFmtId="0">
      <sharedItems containsSemiMixedTypes="0" containsString="0" containsNumber="1" containsInteger="1" minValue="1000" maxValue="1800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ra Bkg" refreshedDate="46159.458596759257" createdVersion="8" refreshedVersion="8" minRefreshableVersion="3" recordCount="15" xr:uid="{448F32CB-8181-4F3D-AA10-29E389D0F4A5}">
  <cacheSource type="worksheet">
    <worksheetSource name="Dataset_day5"/>
  </cacheSource>
  <cacheFields count="7">
    <cacheField name="transaction_id" numFmtId="0">
      <sharedItems count="15">
        <s v="P001"/>
        <s v="P002"/>
        <s v="P003"/>
        <s v="P004"/>
        <s v="P005"/>
        <s v="P006"/>
        <s v="P007"/>
        <s v="P008"/>
        <s v="P009"/>
        <s v="P010"/>
        <s v="P011"/>
        <s v="P012"/>
        <s v="P013"/>
        <s v="P014"/>
        <s v="P015"/>
      </sharedItems>
    </cacheField>
    <cacheField name="date" numFmtId="14">
      <sharedItems containsSemiMixedTypes="0" containsNonDate="0" containsDate="1" containsString="0" minDate="2026-05-15T00:00:00" maxDate="2026-05-19T00:00:00"/>
    </cacheField>
    <cacheField name="client_id" numFmtId="0">
      <sharedItems count="9">
        <s v="C201"/>
        <s v="C202"/>
        <s v="C203"/>
        <s v="C205"/>
        <s v="C209"/>
        <s v="C210"/>
        <s v="C211"/>
        <s v="C212"/>
        <s v="C213"/>
      </sharedItems>
    </cacheField>
    <cacheField name="commune" numFmtId="0">
      <sharedItems count="9">
        <s v="Gombe"/>
        <s v="Limete"/>
        <s v="Matete"/>
        <s v="Ndjili"/>
        <s v="Masina"/>
        <s v="Kintambo"/>
        <s v="Bandalungwa"/>
        <s v="Ngaliema"/>
        <s v="Selembao"/>
      </sharedItems>
    </cacheField>
    <cacheField name="produit" numFmtId="0">
      <sharedItems/>
    </cacheField>
    <cacheField name="montant_fc" numFmtId="0">
      <sharedItems containsSemiMixedTypes="0" containsString="0" containsNumber="1" containsInteger="1" minValue="3000" maxValue="18000"/>
    </cacheField>
    <cacheField name="periode" numFmtId="0">
      <sharedItems count="3">
        <s v="Avant Promo"/>
        <s v="Promo"/>
        <s v="Après Promo"/>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x v="0"/>
    <x v="0"/>
    <s v="C001"/>
    <x v="0"/>
    <x v="0"/>
    <x v="0"/>
    <x v="0"/>
  </r>
  <r>
    <x v="1"/>
    <x v="0"/>
    <s v="C002"/>
    <x v="1"/>
    <x v="1"/>
    <x v="1"/>
    <x v="1"/>
  </r>
  <r>
    <x v="2"/>
    <x v="0"/>
    <s v="C003"/>
    <x v="2"/>
    <x v="0"/>
    <x v="0"/>
    <x v="2"/>
  </r>
  <r>
    <x v="3"/>
    <x v="1"/>
    <s v="C001"/>
    <x v="0"/>
    <x v="2"/>
    <x v="2"/>
    <x v="0"/>
  </r>
  <r>
    <x v="4"/>
    <x v="1"/>
    <s v="C004"/>
    <x v="3"/>
    <x v="3"/>
    <x v="3"/>
    <x v="2"/>
  </r>
  <r>
    <x v="5"/>
    <x v="1"/>
    <s v="C005"/>
    <x v="1"/>
    <x v="1"/>
    <x v="1"/>
    <x v="1"/>
  </r>
  <r>
    <x v="6"/>
    <x v="2"/>
    <s v="C006"/>
    <x v="4"/>
    <x v="0"/>
    <x v="0"/>
    <x v="2"/>
  </r>
  <r>
    <x v="7"/>
    <x v="2"/>
    <s v="C002"/>
    <x v="1"/>
    <x v="1"/>
    <x v="1"/>
    <x v="1"/>
  </r>
  <r>
    <x v="8"/>
    <x v="2"/>
    <s v="C007"/>
    <x v="0"/>
    <x v="3"/>
    <x v="3"/>
    <x v="0"/>
  </r>
  <r>
    <x v="9"/>
    <x v="2"/>
    <s v="C008"/>
    <x v="2"/>
    <x v="2"/>
    <x v="2"/>
    <x v="2"/>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x v="0"/>
    <x v="0"/>
    <x v="0"/>
    <s v="Gombe"/>
    <s v="Data 10GB"/>
    <x v="0"/>
    <x v="0"/>
  </r>
  <r>
    <x v="1"/>
    <x v="0"/>
    <x v="1"/>
    <s v="Limete"/>
    <s v="Voice"/>
    <x v="1"/>
    <x v="1"/>
  </r>
  <r>
    <x v="2"/>
    <x v="0"/>
    <x v="0"/>
    <s v="Gombe"/>
    <s v="Data 5GB"/>
    <x v="2"/>
    <x v="0"/>
  </r>
  <r>
    <x v="3"/>
    <x v="0"/>
    <x v="2"/>
    <s v="Matete"/>
    <s v="SMS"/>
    <x v="3"/>
    <x v="2"/>
  </r>
  <r>
    <x v="4"/>
    <x v="0"/>
    <x v="3"/>
    <s v="Masina"/>
    <s v="Data 10GB"/>
    <x v="0"/>
    <x v="2"/>
  </r>
  <r>
    <x v="5"/>
    <x v="1"/>
    <x v="0"/>
    <s v="Gombe"/>
    <s v="Data 10GB"/>
    <x v="0"/>
    <x v="0"/>
  </r>
  <r>
    <x v="6"/>
    <x v="1"/>
    <x v="1"/>
    <s v="Limete"/>
    <s v="Voice"/>
    <x v="1"/>
    <x v="1"/>
  </r>
  <r>
    <x v="7"/>
    <x v="1"/>
    <x v="4"/>
    <s v="Ndjili"/>
    <s v="Data 5GB"/>
    <x v="2"/>
    <x v="2"/>
  </r>
  <r>
    <x v="8"/>
    <x v="1"/>
    <x v="0"/>
    <s v="Gombe"/>
    <s v="Data 10GB"/>
    <x v="0"/>
    <x v="0"/>
  </r>
  <r>
    <x v="9"/>
    <x v="1"/>
    <x v="5"/>
    <s v="Gombe"/>
    <s v="SMS"/>
    <x v="3"/>
    <x v="0"/>
  </r>
  <r>
    <x v="10"/>
    <x v="1"/>
    <x v="0"/>
    <s v="Gombe"/>
    <s v="Data 10GB"/>
    <x v="0"/>
    <x v="0"/>
  </r>
  <r>
    <x v="11"/>
    <x v="1"/>
    <x v="6"/>
    <s v="Masina"/>
    <s v="Voice"/>
    <x v="1"/>
    <x v="1"/>
  </r>
  <r>
    <x v="12"/>
    <x v="1"/>
    <x v="0"/>
    <s v="Gombe"/>
    <s v="Data 5GB"/>
    <x v="2"/>
    <x v="0"/>
  </r>
  <r>
    <x v="13"/>
    <x v="2"/>
    <x v="7"/>
    <s v="Matete"/>
    <s v="Data 10GB"/>
    <x v="0"/>
    <x v="2"/>
  </r>
  <r>
    <x v="14"/>
    <x v="2"/>
    <x v="0"/>
    <s v="Gombe"/>
    <s v="Data 10GB"/>
    <x v="0"/>
    <x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s v="A001"/>
    <d v="2026-05-07T00:00:00"/>
    <x v="0"/>
    <s v="C101"/>
    <x v="0"/>
    <x v="0"/>
    <n v="18000"/>
  </r>
  <r>
    <s v="A002"/>
    <d v="2026-05-07T00:00:00"/>
    <x v="1"/>
    <s v="C102"/>
    <x v="1"/>
    <x v="1"/>
    <n v="3000"/>
  </r>
  <r>
    <s v="A003"/>
    <d v="2026-05-07T00:00:00"/>
    <x v="0"/>
    <s v="C103"/>
    <x v="0"/>
    <x v="2"/>
    <n v="10000"/>
  </r>
  <r>
    <s v="A004"/>
    <d v="2026-05-07T00:00:00"/>
    <x v="2"/>
    <s v="C104"/>
    <x v="2"/>
    <x v="3"/>
    <n v="1000"/>
  </r>
  <r>
    <s v="A005"/>
    <d v="2026-05-07T00:00:00"/>
    <x v="3"/>
    <s v="C105"/>
    <x v="3"/>
    <x v="0"/>
    <n v="18000"/>
  </r>
  <r>
    <s v="A006"/>
    <d v="2026-05-08T00:00:00"/>
    <x v="0"/>
    <s v="C106"/>
    <x v="0"/>
    <x v="0"/>
    <n v="18000"/>
  </r>
  <r>
    <s v="A007"/>
    <d v="2026-05-08T00:00:00"/>
    <x v="1"/>
    <s v="C107"/>
    <x v="1"/>
    <x v="1"/>
    <n v="3000"/>
  </r>
  <r>
    <s v="A008"/>
    <d v="2026-05-08T00:00:00"/>
    <x v="2"/>
    <s v="C108"/>
    <x v="2"/>
    <x v="3"/>
    <n v="1000"/>
  </r>
  <r>
    <s v="A009"/>
    <d v="2026-05-08T00:00:00"/>
    <x v="0"/>
    <s v="C109"/>
    <x v="0"/>
    <x v="0"/>
    <n v="18000"/>
  </r>
  <r>
    <s v="A010"/>
    <d v="2026-05-08T00:00:00"/>
    <x v="4"/>
    <s v="C110"/>
    <x v="4"/>
    <x v="2"/>
    <n v="10000"/>
  </r>
  <r>
    <s v="A011"/>
    <d v="2026-05-09T00:00:00"/>
    <x v="0"/>
    <s v="C111"/>
    <x v="0"/>
    <x v="0"/>
    <n v="18000"/>
  </r>
  <r>
    <s v="A012"/>
    <d v="2026-05-09T00:00:00"/>
    <x v="1"/>
    <s v="C112"/>
    <x v="1"/>
    <x v="1"/>
    <n v="3000"/>
  </r>
  <r>
    <s v="A013"/>
    <d v="2026-05-09T00:00:00"/>
    <x v="2"/>
    <s v="C113"/>
    <x v="2"/>
    <x v="3"/>
    <n v="1000"/>
  </r>
  <r>
    <s v="A014"/>
    <d v="2026-05-09T00:00:00"/>
    <x v="3"/>
    <s v="C114"/>
    <x v="3"/>
    <x v="0"/>
    <n v="18000"/>
  </r>
  <r>
    <s v="A015"/>
    <d v="2026-05-09T00:00:00"/>
    <x v="4"/>
    <s v="C115"/>
    <x v="4"/>
    <x v="2"/>
    <n v="1000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x v="0"/>
    <d v="2026-05-10T00:00:00"/>
    <x v="0"/>
    <x v="0"/>
    <x v="0"/>
    <n v="18000"/>
  </r>
  <r>
    <x v="1"/>
    <d v="2026-05-10T00:00:00"/>
    <x v="1"/>
    <x v="1"/>
    <x v="1"/>
    <n v="3000"/>
  </r>
  <r>
    <x v="2"/>
    <d v="2026-05-10T00:00:00"/>
    <x v="2"/>
    <x v="2"/>
    <x v="2"/>
    <n v="10000"/>
  </r>
  <r>
    <x v="3"/>
    <d v="2026-05-11T00:00:00"/>
    <x v="0"/>
    <x v="0"/>
    <x v="0"/>
    <n v="18000"/>
  </r>
  <r>
    <x v="4"/>
    <d v="2026-05-11T00:00:00"/>
    <x v="3"/>
    <x v="3"/>
    <x v="3"/>
    <n v="1000"/>
  </r>
  <r>
    <x v="5"/>
    <d v="2026-05-11T00:00:00"/>
    <x v="4"/>
    <x v="4"/>
    <x v="0"/>
    <n v="18000"/>
  </r>
  <r>
    <x v="6"/>
    <d v="2026-05-12T00:00:00"/>
    <x v="0"/>
    <x v="0"/>
    <x v="2"/>
    <n v="10000"/>
  </r>
  <r>
    <x v="7"/>
    <d v="2026-05-12T00:00:00"/>
    <x v="1"/>
    <x v="1"/>
    <x v="1"/>
    <n v="3000"/>
  </r>
  <r>
    <x v="8"/>
    <d v="2026-05-12T00:00:00"/>
    <x v="5"/>
    <x v="0"/>
    <x v="3"/>
    <n v="1000"/>
  </r>
  <r>
    <x v="9"/>
    <d v="2026-05-13T00:00:00"/>
    <x v="0"/>
    <x v="0"/>
    <x v="0"/>
    <n v="18000"/>
  </r>
  <r>
    <x v="10"/>
    <d v="2026-05-13T00:00:00"/>
    <x v="2"/>
    <x v="2"/>
    <x v="2"/>
    <n v="10000"/>
  </r>
  <r>
    <x v="11"/>
    <d v="2026-05-13T00:00:00"/>
    <x v="6"/>
    <x v="3"/>
    <x v="1"/>
    <n v="3000"/>
  </r>
  <r>
    <x v="12"/>
    <d v="2026-05-14T00:00:00"/>
    <x v="0"/>
    <x v="0"/>
    <x v="0"/>
    <n v="18000"/>
  </r>
  <r>
    <x v="13"/>
    <d v="2026-05-14T00:00:00"/>
    <x v="7"/>
    <x v="4"/>
    <x v="0"/>
    <n v="18000"/>
  </r>
  <r>
    <x v="14"/>
    <d v="2026-05-14T00:00:00"/>
    <x v="1"/>
    <x v="1"/>
    <x v="1"/>
    <n v="300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x v="0"/>
    <d v="2026-05-15T00:00:00"/>
    <x v="0"/>
    <x v="0"/>
    <s v="Data 10GB"/>
    <n v="18000"/>
    <x v="0"/>
  </r>
  <r>
    <x v="1"/>
    <d v="2026-05-15T00:00:00"/>
    <x v="1"/>
    <x v="1"/>
    <s v="Voice"/>
    <n v="3000"/>
    <x v="0"/>
  </r>
  <r>
    <x v="2"/>
    <d v="2026-05-15T00:00:00"/>
    <x v="2"/>
    <x v="2"/>
    <s v="Data 5GB"/>
    <n v="10000"/>
    <x v="0"/>
  </r>
  <r>
    <x v="3"/>
    <d v="2026-05-15T00:00:00"/>
    <x v="3"/>
    <x v="3"/>
    <s v="Data 10GB"/>
    <n v="18000"/>
    <x v="0"/>
  </r>
  <r>
    <x v="4"/>
    <d v="2026-05-16T00:00:00"/>
    <x v="0"/>
    <x v="0"/>
    <s v="Data 10GB"/>
    <n v="12600"/>
    <x v="1"/>
  </r>
  <r>
    <x v="5"/>
    <d v="2026-05-16T00:00:00"/>
    <x v="1"/>
    <x v="1"/>
    <s v="Voice"/>
    <n v="3000"/>
    <x v="1"/>
  </r>
  <r>
    <x v="6"/>
    <d v="2026-05-16T00:00:00"/>
    <x v="4"/>
    <x v="4"/>
    <s v="Data 10GB"/>
    <n v="12600"/>
    <x v="1"/>
  </r>
  <r>
    <x v="7"/>
    <d v="2026-05-16T00:00:00"/>
    <x v="5"/>
    <x v="5"/>
    <s v="Data 10GB"/>
    <n v="12600"/>
    <x v="1"/>
  </r>
  <r>
    <x v="8"/>
    <d v="2026-05-17T00:00:00"/>
    <x v="0"/>
    <x v="0"/>
    <s v="Data 10GB"/>
    <n v="12600"/>
    <x v="1"/>
  </r>
  <r>
    <x v="9"/>
    <d v="2026-05-17T00:00:00"/>
    <x v="6"/>
    <x v="6"/>
    <s v="Data 10GB"/>
    <n v="12600"/>
    <x v="1"/>
  </r>
  <r>
    <x v="10"/>
    <d v="2026-05-17T00:00:00"/>
    <x v="2"/>
    <x v="2"/>
    <s v="Data 5GB"/>
    <n v="10000"/>
    <x v="1"/>
  </r>
  <r>
    <x v="11"/>
    <d v="2026-05-17T00:00:00"/>
    <x v="7"/>
    <x v="7"/>
    <s v="Data 10GB"/>
    <n v="12600"/>
    <x v="1"/>
  </r>
  <r>
    <x v="12"/>
    <d v="2026-05-18T00:00:00"/>
    <x v="0"/>
    <x v="0"/>
    <s v="Data 10GB"/>
    <n v="18000"/>
    <x v="2"/>
  </r>
  <r>
    <x v="13"/>
    <d v="2026-05-18T00:00:00"/>
    <x v="1"/>
    <x v="1"/>
    <s v="Voice"/>
    <n v="3000"/>
    <x v="2"/>
  </r>
  <r>
    <x v="14"/>
    <d v="2026-05-18T00:00:00"/>
    <x v="8"/>
    <x v="8"/>
    <s v="Data 10GB"/>
    <n v="18000"/>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A94A5AA-7939-49B7-A6DD-E9354366584E}" name="Tableau croisé dynamique11" cacheId="0" applyNumberFormats="0" applyBorderFormats="0" applyFontFormats="0" applyPatternFormats="0" applyAlignmentFormats="0" applyWidthHeightFormats="1" dataCaption="Valeurs" updatedVersion="8" minRefreshableVersion="3" useAutoFormatting="1" itemPrintTitles="1" createdVersion="8" indent="0" outline="1" outlineData="1" multipleFieldFilters="0">
  <location ref="B60:C64" firstHeaderRow="1" firstDataRow="1" firstDataCol="1"/>
  <pivotFields count="7">
    <pivotField dataField="1" showAll="0">
      <items count="11">
        <item x="0"/>
        <item x="1"/>
        <item x="2"/>
        <item x="3"/>
        <item x="4"/>
        <item x="5"/>
        <item x="6"/>
        <item x="7"/>
        <item x="8"/>
        <item x="9"/>
        <item t="default"/>
      </items>
    </pivotField>
    <pivotField numFmtId="14" showAll="0"/>
    <pivotField showAll="0"/>
    <pivotField showAll="0"/>
    <pivotField showAll="0"/>
    <pivotField showAll="0"/>
    <pivotField axis="axisRow" showAll="0">
      <items count="4">
        <item x="2"/>
        <item x="0"/>
        <item x="1"/>
        <item t="default"/>
      </items>
    </pivotField>
  </pivotFields>
  <rowFields count="1">
    <field x="6"/>
  </rowFields>
  <rowItems count="4">
    <i>
      <x/>
    </i>
    <i>
      <x v="1"/>
    </i>
    <i>
      <x v="2"/>
    </i>
    <i t="grand">
      <x/>
    </i>
  </rowItems>
  <colItems count="1">
    <i/>
  </colItems>
  <dataFields count="1">
    <dataField name="Nombre de transaction_id" fld="0" subtotal="count" baseField="0" baseItem="0"/>
  </dataFields>
  <formats count="2">
    <format dxfId="182">
      <pivotArea collapsedLevelsAreSubtotals="1" fieldPosition="0">
        <references count="1">
          <reference field="6" count="1">
            <x v="0"/>
          </reference>
        </references>
      </pivotArea>
    </format>
    <format dxfId="181">
      <pivotArea dataOnly="0" labelOnly="1" fieldPosition="0">
        <references count="1">
          <reference field="6"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E420E65-FA27-4856-B341-2B171A7E7366}" name="Tableau croisé dynamique10" cacheId="0" applyNumberFormats="0" applyBorderFormats="0" applyFontFormats="0" applyPatternFormats="0" applyAlignmentFormats="0" applyWidthHeightFormats="1" dataCaption="Valeurs" updatedVersion="8" minRefreshableVersion="3" useAutoFormatting="1" itemPrintTitles="1" createdVersion="8" indent="0" outline="1" outlineData="1" multipleFieldFilters="0">
  <location ref="B47:C52" firstHeaderRow="1" firstDataRow="1" firstDataCol="1"/>
  <pivotFields count="7">
    <pivotField showAll="0"/>
    <pivotField numFmtId="14" showAll="0"/>
    <pivotField showAll="0"/>
    <pivotField showAll="0"/>
    <pivotField axis="axisRow" showAll="0" sortType="descending">
      <items count="5">
        <item x="3"/>
        <item x="0"/>
        <item x="2"/>
        <item x="1"/>
        <item t="default"/>
      </items>
      <autoSortScope>
        <pivotArea dataOnly="0" outline="0" fieldPosition="0">
          <references count="1">
            <reference field="4294967294" count="1" selected="0">
              <x v="0"/>
            </reference>
          </references>
        </pivotArea>
      </autoSortScope>
    </pivotField>
    <pivotField dataField="1" showAll="0"/>
    <pivotField showAll="0"/>
  </pivotFields>
  <rowFields count="1">
    <field x="4"/>
  </rowFields>
  <rowItems count="5">
    <i>
      <x/>
    </i>
    <i>
      <x v="1"/>
    </i>
    <i>
      <x v="3"/>
    </i>
    <i>
      <x v="2"/>
    </i>
    <i t="grand">
      <x/>
    </i>
  </rowItems>
  <colItems count="1">
    <i/>
  </colItems>
  <dataFields count="1">
    <dataField name="Chiffre d'affaire" fld="5" baseField="0" baseItem="0"/>
  </dataFields>
  <formats count="2">
    <format dxfId="184">
      <pivotArea collapsedLevelsAreSubtotals="1" fieldPosition="0">
        <references count="1">
          <reference field="4" count="1">
            <x v="0"/>
          </reference>
        </references>
      </pivotArea>
    </format>
    <format dxfId="183">
      <pivotArea dataOnly="0" labelOnly="1" fieldPosition="0">
        <references count="1">
          <reference field="4" count="1">
            <x v="0"/>
          </reference>
        </references>
      </pivotArea>
    </format>
  </formats>
  <conditionalFormats count="1">
    <conditionalFormat priority="1">
      <pivotAreas count="1">
        <pivotArea type="data" collapsedLevelsAreSubtotals="1" fieldPosition="0">
          <references count="2">
            <reference field="4294967294" count="1" selected="0">
              <x v="0"/>
            </reference>
            <reference field="4" count="4">
              <x v="0"/>
              <x v="1"/>
              <x v="2"/>
              <x v="3"/>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489F5AA-4386-45E5-9C54-88F4AB4B8C8B}" name="Tableau croisé dynamique8" cacheId="0" applyNumberFormats="0" applyBorderFormats="0" applyFontFormats="0" applyPatternFormats="0" applyAlignmentFormats="0" applyWidthHeightFormats="1" dataCaption="Valeurs" updatedVersion="8" minRefreshableVersion="3" useAutoFormatting="1" itemPrintTitles="1" createdVersion="8" indent="0" outline="1" outlineData="1" multipleFieldFilters="0">
  <location ref="B33:C39" firstHeaderRow="1" firstDataRow="1" firstDataCol="1"/>
  <pivotFields count="7">
    <pivotField showAll="0">
      <items count="11">
        <item x="0"/>
        <item x="1"/>
        <item x="2"/>
        <item x="3"/>
        <item x="4"/>
        <item x="5"/>
        <item x="6"/>
        <item x="7"/>
        <item x="8"/>
        <item x="9"/>
        <item t="default"/>
      </items>
    </pivotField>
    <pivotField numFmtId="14" showAll="0"/>
    <pivotField showAll="0"/>
    <pivotField axis="axisRow" showAll="0" sortType="descending">
      <items count="6">
        <item x="0"/>
        <item x="1"/>
        <item x="4"/>
        <item x="2"/>
        <item x="3"/>
        <item t="default"/>
      </items>
      <autoSortScope>
        <pivotArea dataOnly="0" outline="0" fieldPosition="0">
          <references count="1">
            <reference field="4294967294" count="1" selected="0">
              <x v="0"/>
            </reference>
          </references>
        </pivotArea>
      </autoSortScope>
    </pivotField>
    <pivotField showAll="0"/>
    <pivotField dataField="1" showAll="0" sumSubtotal="1">
      <items count="5">
        <item x="2"/>
        <item x="1"/>
        <item x="0"/>
        <item x="3"/>
        <item t="sum"/>
      </items>
    </pivotField>
    <pivotField showAll="0"/>
  </pivotFields>
  <rowFields count="1">
    <field x="3"/>
  </rowFields>
  <rowItems count="6">
    <i>
      <x/>
    </i>
    <i>
      <x v="4"/>
    </i>
    <i>
      <x v="3"/>
    </i>
    <i>
      <x v="2"/>
    </i>
    <i>
      <x v="1"/>
    </i>
    <i t="grand">
      <x/>
    </i>
  </rowItems>
  <colItems count="1">
    <i/>
  </colItems>
  <dataFields count="1">
    <dataField name="Chiffre d'affaire" fld="5" baseField="0" baseItem="0"/>
  </dataFields>
  <formats count="6">
    <format dxfId="190">
      <pivotArea collapsedLevelsAreSubtotals="1" fieldPosition="0">
        <references count="1">
          <reference field="3" count="1">
            <x v="0"/>
          </reference>
        </references>
      </pivotArea>
    </format>
    <format dxfId="189">
      <pivotArea dataOnly="0" labelOnly="1" fieldPosition="0">
        <references count="1">
          <reference field="3" count="1">
            <x v="0"/>
          </reference>
        </references>
      </pivotArea>
    </format>
    <format dxfId="188">
      <pivotArea dataOnly="0" labelOnly="1" fieldPosition="0">
        <references count="1">
          <reference field="3" count="1">
            <x v="0"/>
          </reference>
        </references>
      </pivotArea>
    </format>
    <format dxfId="187">
      <pivotArea dataOnly="0" labelOnly="1" fieldPosition="0">
        <references count="1">
          <reference field="3" count="1">
            <x v="0"/>
          </reference>
        </references>
      </pivotArea>
    </format>
    <format dxfId="186">
      <pivotArea collapsedLevelsAreSubtotals="1" fieldPosition="0">
        <references count="1">
          <reference field="3" count="1">
            <x v="0"/>
          </reference>
        </references>
      </pivotArea>
    </format>
    <format dxfId="185">
      <pivotArea dataOnly="0" labelOnly="1" fieldPosition="0">
        <references count="1">
          <reference field="3" count="1">
            <x v="0"/>
          </reference>
        </references>
      </pivotArea>
    </format>
  </formats>
  <conditionalFormats count="1">
    <conditionalFormat priority="3">
      <pivotAreas count="1">
        <pivotArea type="data" collapsedLevelsAreSubtotals="1" fieldPosition="0">
          <references count="2">
            <reference field="4294967294" count="1" selected="0">
              <x v="0"/>
            </reference>
            <reference field="3" count="5">
              <x v="0"/>
              <x v="1"/>
              <x v="2"/>
              <x v="3"/>
              <x v="4"/>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2621D-595A-4AC1-AE02-1074C41FD4EA}" name="Tableau croisé dynamique7" cacheId="0" applyNumberFormats="0" applyBorderFormats="0" applyFontFormats="0" applyPatternFormats="0" applyAlignmentFormats="0" applyWidthHeightFormats="1" dataCaption="Valeurs" grandTotalCaption="CA" updatedVersion="8" minRefreshableVersion="3" useAutoFormatting="1" itemPrintTitles="1" createdVersion="8" indent="0" outline="1" outlineData="1" multipleFieldFilters="0">
  <location ref="B20:C24" firstHeaderRow="1" firstDataRow="1" firstDataCol="1"/>
  <pivotFields count="7">
    <pivotField showAll="0">
      <items count="11">
        <item x="0"/>
        <item x="1"/>
        <item x="2"/>
        <item x="3"/>
        <item x="4"/>
        <item x="5"/>
        <item x="6"/>
        <item x="7"/>
        <item x="8"/>
        <item x="9"/>
        <item t="default"/>
      </items>
    </pivotField>
    <pivotField axis="axisRow" numFmtId="14" showAll="0">
      <items count="4">
        <item x="0"/>
        <item x="1"/>
        <item x="2"/>
        <item t="default"/>
      </items>
    </pivotField>
    <pivotField showAll="0"/>
    <pivotField showAll="0">
      <items count="6">
        <item x="0"/>
        <item x="1"/>
        <item x="4"/>
        <item x="2"/>
        <item x="3"/>
        <item t="default"/>
      </items>
    </pivotField>
    <pivotField showAll="0"/>
    <pivotField dataField="1" showAll="0"/>
    <pivotField showAll="0"/>
  </pivotFields>
  <rowFields count="1">
    <field x="1"/>
  </rowFields>
  <rowItems count="4">
    <i>
      <x/>
    </i>
    <i>
      <x v="1"/>
    </i>
    <i>
      <x v="2"/>
    </i>
    <i t="grand">
      <x/>
    </i>
  </rowItems>
  <colItems count="1">
    <i/>
  </colItems>
  <dataFields count="1">
    <dataField name="Somme de montant_fc"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629A829-0601-4384-AE7B-9BD574CFE933}" name="Tableau croisé dynamique2" cacheId="1" applyNumberFormats="0" applyBorderFormats="0" applyFontFormats="0" applyPatternFormats="0" applyAlignmentFormats="0" applyWidthHeightFormats="1" dataCaption="Valeurs" updatedVersion="8" minRefreshableVersion="3" useAutoFormatting="1" itemPrintTitles="1" createdVersion="8" indent="0" outline="1" outlineData="1" multipleFieldFilters="0" rowHeaderCaption="Clients/canal">
  <location ref="B41:C50" firstHeaderRow="1" firstDataRow="1" firstDataCol="1"/>
  <pivotFields count="7">
    <pivotField showAll="0">
      <items count="16">
        <item x="0"/>
        <item x="1"/>
        <item x="2"/>
        <item x="3"/>
        <item x="4"/>
        <item x="5"/>
        <item x="6"/>
        <item x="7"/>
        <item x="8"/>
        <item x="9"/>
        <item x="10"/>
        <item x="11"/>
        <item x="12"/>
        <item x="13"/>
        <item x="14"/>
        <item t="default"/>
      </items>
    </pivotField>
    <pivotField numFmtId="14" showAll="0"/>
    <pivotField axis="axisRow" showAll="0">
      <items count="9">
        <item x="0"/>
        <item x="1"/>
        <item x="2"/>
        <item x="3"/>
        <item x="4"/>
        <item x="5"/>
        <item x="6"/>
        <item x="7"/>
        <item t="default"/>
      </items>
    </pivotField>
    <pivotField showAll="0"/>
    <pivotField showAll="0"/>
    <pivotField dataField="1" showAll="0"/>
    <pivotField showAll="0">
      <items count="4">
        <item x="2"/>
        <item x="0"/>
        <item x="1"/>
        <item t="default"/>
      </items>
    </pivotField>
  </pivotFields>
  <rowFields count="1">
    <field x="2"/>
  </rowFields>
  <rowItems count="9">
    <i>
      <x/>
    </i>
    <i>
      <x v="1"/>
    </i>
    <i>
      <x v="2"/>
    </i>
    <i>
      <x v="3"/>
    </i>
    <i>
      <x v="4"/>
    </i>
    <i>
      <x v="5"/>
    </i>
    <i>
      <x v="6"/>
    </i>
    <i>
      <x v="7"/>
    </i>
    <i t="grand">
      <x/>
    </i>
  </rowItems>
  <colItems count="1">
    <i/>
  </colItems>
  <dataFields count="1">
    <dataField name="Somme de montant_fc" fld="5" baseField="0" baseItem="0"/>
  </dataFields>
  <formats count="2">
    <format dxfId="140">
      <pivotArea field="2" type="button" dataOnly="0" labelOnly="1" outline="0" axis="axisRow" fieldPosition="0"/>
    </format>
    <format dxfId="139">
      <pivotArea dataOnly="0" labelOnly="1" grandCol="1" outline="0" fieldPosition="0"/>
    </format>
  </formats>
  <conditionalFormats count="1">
    <conditionalFormat priority="4">
      <pivotAreas count="1">
        <pivotArea type="data" collapsedLevelsAreSubtotals="1" fieldPosition="0">
          <references count="2">
            <reference field="4294967294" count="1" selected="0">
              <x v="0"/>
            </reference>
            <reference field="2" count="8">
              <x v="0"/>
              <x v="1"/>
              <x v="2"/>
              <x v="3"/>
              <x v="4"/>
              <x v="5"/>
              <x v="6"/>
              <x v="7"/>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BDC4D3E-6E87-4F60-A0F8-9C65B558BC36}" name="Tableau croisé dynamique1" cacheId="1" applyNumberFormats="0" applyBorderFormats="0" applyFontFormats="0" applyPatternFormats="0" applyAlignmentFormats="0" applyWidthHeightFormats="1" dataCaption="Valeurs" updatedVersion="8" minRefreshableVersion="3" useAutoFormatting="1" itemPrintTitles="1" createdVersion="8" indent="0" outline="1" outlineData="1" multipleFieldFilters="0" rowHeaderCaption="Clients">
  <location ref="B24:C33" firstHeaderRow="1" firstDataRow="1" firstDataCol="1"/>
  <pivotFields count="7">
    <pivotField dataField="1" showAll="0"/>
    <pivotField numFmtId="14" showAll="0"/>
    <pivotField axis="axisRow" showAll="0">
      <items count="9">
        <item x="0"/>
        <item x="1"/>
        <item x="2"/>
        <item x="3"/>
        <item x="4"/>
        <item x="5"/>
        <item x="6"/>
        <item x="7"/>
        <item t="default"/>
      </items>
    </pivotField>
    <pivotField showAll="0"/>
    <pivotField showAll="0"/>
    <pivotField showAll="0"/>
    <pivotField showAll="0">
      <items count="4">
        <item x="2"/>
        <item x="0"/>
        <item x="1"/>
        <item t="default"/>
      </items>
    </pivotField>
  </pivotFields>
  <rowFields count="1">
    <field x="2"/>
  </rowFields>
  <rowItems count="9">
    <i>
      <x/>
    </i>
    <i>
      <x v="1"/>
    </i>
    <i>
      <x v="2"/>
    </i>
    <i>
      <x v="3"/>
    </i>
    <i>
      <x v="4"/>
    </i>
    <i>
      <x v="5"/>
    </i>
    <i>
      <x v="6"/>
    </i>
    <i>
      <x v="7"/>
    </i>
    <i t="grand">
      <x/>
    </i>
  </rowItems>
  <colItems count="1">
    <i/>
  </colItems>
  <dataFields count="1">
    <dataField name="Frequence par client" fld="0" subtotal="count" baseField="2" baseItem="0"/>
  </dataFields>
  <conditionalFormats count="1">
    <conditionalFormat priority="1">
      <pivotAreas count="1">
        <pivotArea type="data" collapsedLevelsAreSubtotals="1" fieldPosition="0">
          <references count="2">
            <reference field="4294967294" count="1" selected="0">
              <x v="0"/>
            </reference>
            <reference field="2" count="8">
              <x v="0"/>
              <x v="1"/>
              <x v="2"/>
              <x v="3"/>
              <x v="4"/>
              <x v="5"/>
              <x v="6"/>
              <x v="7"/>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7774D1-06E3-4866-B6C8-A311F7479B8C}" name="Tableau croisé dynamique25" cacheId="1" applyNumberFormats="0" applyBorderFormats="0" applyFontFormats="0" applyPatternFormats="0" applyAlignmentFormats="0" applyWidthHeightFormats="1" dataCaption="Valeurs" updatedVersion="8" minRefreshableVersion="3" useAutoFormatting="1" itemPrintTitles="1" createdVersion="8" indent="0" outline="1" outlineData="1" multipleFieldFilters="0">
  <location ref="B77:F83" firstHeaderRow="1" firstDataRow="3" firstDataCol="1"/>
  <pivotFields count="7">
    <pivotField dataField="1" showAll="0"/>
    <pivotField axis="axisRow" numFmtId="14" showAll="0">
      <items count="4">
        <item x="0"/>
        <item x="1"/>
        <item x="2"/>
        <item t="default"/>
      </items>
    </pivotField>
    <pivotField axis="axisCol" showAll="0">
      <items count="9">
        <item x="0"/>
        <item h="1" x="1"/>
        <item h="1" x="2"/>
        <item h="1" x="3"/>
        <item h="1" x="4"/>
        <item h="1" x="5"/>
        <item h="1" x="6"/>
        <item h="1" x="7"/>
        <item t="default"/>
      </items>
    </pivotField>
    <pivotField showAll="0"/>
    <pivotField showAll="0"/>
    <pivotField dataField="1" showAll="0">
      <items count="5">
        <item x="3"/>
        <item x="1"/>
        <item x="2"/>
        <item x="0"/>
        <item t="default"/>
      </items>
    </pivotField>
    <pivotField showAll="0"/>
  </pivotFields>
  <rowFields count="1">
    <field x="1"/>
  </rowFields>
  <rowItems count="4">
    <i>
      <x/>
    </i>
    <i>
      <x v="1"/>
    </i>
    <i>
      <x v="2"/>
    </i>
    <i t="grand">
      <x/>
    </i>
  </rowItems>
  <colFields count="2">
    <field x="2"/>
    <field x="-2"/>
  </colFields>
  <colItems count="4">
    <i>
      <x/>
      <x/>
    </i>
    <i r="1" i="1">
      <x v="1"/>
    </i>
    <i t="grand">
      <x/>
    </i>
    <i t="grand" i="1">
      <x/>
    </i>
  </colItems>
  <dataFields count="2">
    <dataField name="Nombre de transaction_id" fld="0" subtotal="count" baseField="0" baseItem="0"/>
    <dataField name="Somme de montant_fc" fld="5" baseField="0" baseItem="0"/>
  </dataFields>
  <formats count="28">
    <format dxfId="168">
      <pivotArea collapsedLevelsAreSubtotals="1" fieldPosition="0">
        <references count="2">
          <reference field="1" count="2">
            <x v="0"/>
            <x v="1"/>
          </reference>
          <reference field="2" count="1" selected="0">
            <x v="0"/>
          </reference>
        </references>
      </pivotArea>
    </format>
    <format dxfId="167">
      <pivotArea field="1" type="button" dataOnly="0" labelOnly="1" outline="0" axis="axisRow" fieldPosition="0"/>
    </format>
    <format dxfId="166">
      <pivotArea dataOnly="0" labelOnly="1" outline="0" fieldPosition="0">
        <references count="2">
          <reference field="4294967294" count="2">
            <x v="0"/>
            <x v="1"/>
          </reference>
          <reference field="2" count="1" selected="0">
            <x v="0"/>
          </reference>
        </references>
      </pivotArea>
    </format>
    <format dxfId="165">
      <pivotArea dataOnly="0" labelOnly="1" outline="0" fieldPosition="0">
        <references count="2">
          <reference field="4294967294" count="2">
            <x v="0"/>
            <x v="1"/>
          </reference>
          <reference field="2" count="1" selected="0">
            <x v="1"/>
          </reference>
        </references>
      </pivotArea>
    </format>
    <format dxfId="164">
      <pivotArea dataOnly="0" labelOnly="1" outline="0" fieldPosition="0">
        <references count="2">
          <reference field="4294967294" count="2">
            <x v="0"/>
            <x v="1"/>
          </reference>
          <reference field="2" count="1" selected="0">
            <x v="2"/>
          </reference>
        </references>
      </pivotArea>
    </format>
    <format dxfId="163">
      <pivotArea dataOnly="0" labelOnly="1" outline="0" fieldPosition="0">
        <references count="2">
          <reference field="4294967294" count="2">
            <x v="0"/>
            <x v="1"/>
          </reference>
          <reference field="2" count="1" selected="0">
            <x v="3"/>
          </reference>
        </references>
      </pivotArea>
    </format>
    <format dxfId="162">
      <pivotArea dataOnly="0" labelOnly="1" outline="0" fieldPosition="0">
        <references count="2">
          <reference field="4294967294" count="2">
            <x v="0"/>
            <x v="1"/>
          </reference>
          <reference field="2" count="1" selected="0">
            <x v="4"/>
          </reference>
        </references>
      </pivotArea>
    </format>
    <format dxfId="161">
      <pivotArea dataOnly="0" labelOnly="1" outline="0" fieldPosition="0">
        <references count="2">
          <reference field="4294967294" count="2">
            <x v="0"/>
            <x v="1"/>
          </reference>
          <reference field="2" count="1" selected="0">
            <x v="5"/>
          </reference>
        </references>
      </pivotArea>
    </format>
    <format dxfId="160">
      <pivotArea dataOnly="0" labelOnly="1" outline="0" fieldPosition="0">
        <references count="2">
          <reference field="4294967294" count="2">
            <x v="0"/>
            <x v="1"/>
          </reference>
          <reference field="2" count="1" selected="0">
            <x v="6"/>
          </reference>
        </references>
      </pivotArea>
    </format>
    <format dxfId="159">
      <pivotArea dataOnly="0" labelOnly="1" outline="0" fieldPosition="0">
        <references count="2">
          <reference field="4294967294" count="2">
            <x v="0"/>
            <x v="1"/>
          </reference>
          <reference field="2" count="1" selected="0">
            <x v="7"/>
          </reference>
        </references>
      </pivotArea>
    </format>
    <format dxfId="158">
      <pivotArea field="2" dataOnly="0" labelOnly="1" grandCol="1" outline="0" axis="axisCol" fieldPosition="0">
        <references count="1">
          <reference field="4294967294" count="1" selected="0">
            <x v="0"/>
          </reference>
        </references>
      </pivotArea>
    </format>
    <format dxfId="157">
      <pivotArea field="2" dataOnly="0" labelOnly="1" grandCol="1" outline="0" axis="axisCol" fieldPosition="0">
        <references count="1">
          <reference field="4294967294" count="1" selected="0">
            <x v="1"/>
          </reference>
        </references>
      </pivotArea>
    </format>
    <format dxfId="156">
      <pivotArea field="2" type="button" dataOnly="0" labelOnly="1" outline="0" axis="axisCol" fieldPosition="0"/>
    </format>
    <format dxfId="155">
      <pivotArea collapsedLevelsAreSubtotals="1" fieldPosition="0">
        <references count="3">
          <reference field="4294967294" count="2" selected="0">
            <x v="0"/>
            <x v="1"/>
          </reference>
          <reference field="1" count="2">
            <x v="0"/>
            <x v="1"/>
          </reference>
          <reference field="2" count="1" selected="0">
            <x v="0"/>
          </reference>
        </references>
      </pivotArea>
    </format>
    <format dxfId="154">
      <pivotArea dataOnly="0" labelOnly="1" offset="A256" fieldPosition="0">
        <references count="1">
          <reference field="2" count="1">
            <x v="0"/>
          </reference>
        </references>
      </pivotArea>
    </format>
    <format dxfId="153">
      <pivotArea dataOnly="0" labelOnly="1" offset="IV256" fieldPosition="0">
        <references count="1">
          <reference field="2" count="1">
            <x v="0"/>
          </reference>
        </references>
      </pivotArea>
    </format>
    <format dxfId="152">
      <pivotArea dataOnly="0" labelOnly="1" fieldPosition="0">
        <references count="1">
          <reference field="2" count="1">
            <x v="1"/>
          </reference>
        </references>
      </pivotArea>
    </format>
    <format dxfId="151">
      <pivotArea dataOnly="0" labelOnly="1" fieldPosition="0">
        <references count="1">
          <reference field="2" count="1">
            <x v="2"/>
          </reference>
        </references>
      </pivotArea>
    </format>
    <format dxfId="150">
      <pivotArea dataOnly="0" labelOnly="1" fieldPosition="0">
        <references count="1">
          <reference field="2" count="1">
            <x v="3"/>
          </reference>
        </references>
      </pivotArea>
    </format>
    <format dxfId="149">
      <pivotArea dataOnly="0" labelOnly="1" fieldPosition="0">
        <references count="1">
          <reference field="2" count="1">
            <x v="4"/>
          </reference>
        </references>
      </pivotArea>
    </format>
    <format dxfId="148">
      <pivotArea dataOnly="0" labelOnly="1" fieldPosition="0">
        <references count="1">
          <reference field="2" count="1">
            <x v="5"/>
          </reference>
        </references>
      </pivotArea>
    </format>
    <format dxfId="147">
      <pivotArea dataOnly="0" labelOnly="1" fieldPosition="0">
        <references count="1">
          <reference field="2" count="1">
            <x v="6"/>
          </reference>
        </references>
      </pivotArea>
    </format>
    <format dxfId="146">
      <pivotArea dataOnly="0" labelOnly="1" fieldPosition="0">
        <references count="1">
          <reference field="2" count="1">
            <x v="7"/>
          </reference>
        </references>
      </pivotArea>
    </format>
    <format dxfId="145">
      <pivotArea field="2" grandRow="1" outline="0" collapsedLevelsAreSubtotals="1" axis="axisCol" fieldPosition="0">
        <references count="2">
          <reference field="4294967294" count="1" selected="0">
            <x v="1"/>
          </reference>
          <reference field="2" count="0" selected="0"/>
        </references>
      </pivotArea>
    </format>
    <format dxfId="144">
      <pivotArea field="2" grandRow="1" outline="0" collapsedLevelsAreSubtotals="1" axis="axisCol" fieldPosition="0">
        <references count="2">
          <reference field="4294967294" count="1" selected="0">
            <x v="0"/>
          </reference>
          <reference field="2" count="0" selected="0"/>
        </references>
      </pivotArea>
    </format>
    <format dxfId="143">
      <pivotArea collapsedLevelsAreSubtotals="1" fieldPosition="0">
        <references count="3">
          <reference field="4294967294" count="2" selected="0">
            <x v="0"/>
            <x v="1"/>
          </reference>
          <reference field="1" count="1">
            <x v="1"/>
          </reference>
          <reference field="2" count="0" selected="0"/>
        </references>
      </pivotArea>
    </format>
    <format dxfId="142">
      <pivotArea collapsedLevelsAreSubtotals="1" fieldPosition="0">
        <references count="3">
          <reference field="4294967294" count="1" selected="0">
            <x v="0"/>
          </reference>
          <reference field="1" count="1">
            <x v="1"/>
          </reference>
          <reference field="2" count="0" selected="0"/>
        </references>
      </pivotArea>
    </format>
    <format dxfId="141">
      <pivotArea collapsedLevelsAreSubtotals="1" fieldPosition="0">
        <references count="3">
          <reference field="4294967294" count="1" selected="0">
            <x v="1"/>
          </reference>
          <reference field="1" count="1">
            <x v="1"/>
          </reference>
          <reference field="2" count="0" selected="0"/>
        </references>
      </pivotArea>
    </format>
  </formats>
  <conditionalFormats count="2">
    <conditionalFormat priority="3">
      <pivotAreas count="1">
        <pivotArea type="data" collapsedLevelsAreSubtotals="1" fieldPosition="0">
          <references count="3">
            <reference field="4294967294" count="1" selected="0">
              <x v="0"/>
            </reference>
            <reference field="1" count="2">
              <x v="0"/>
              <x v="1"/>
            </reference>
            <reference field="2" count="1" selected="0">
              <x v="0"/>
            </reference>
          </references>
        </pivotArea>
      </pivotAreas>
    </conditionalFormat>
    <conditionalFormat priority="2">
      <pivotAreas count="1">
        <pivotArea type="data" collapsedLevelsAreSubtotals="1" fieldPosition="0">
          <references count="3">
            <reference field="4294967294" count="1" selected="0">
              <x v="0"/>
            </reference>
            <reference field="1" count="2">
              <x v="0"/>
              <x v="1"/>
            </reference>
            <reference field="2" count="1" selected="0">
              <x v="0"/>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03AB932-5DD7-4CAF-BF0A-30F67C3B60D8}" name="Tableau croisé dynamique17" cacheId="1" applyNumberFormats="0" applyBorderFormats="0" applyFontFormats="0" applyPatternFormats="0" applyAlignmentFormats="0" applyWidthHeightFormats="1" dataCaption="Valeurs" updatedVersion="8" minRefreshableVersion="3" useAutoFormatting="1" itemPrintTitles="1" createdVersion="8" indent="0" outline="1" outlineData="1" multipleFieldFilters="0" rowHeaderCaption="Clients/canal">
  <location ref="B58:F68" firstHeaderRow="1" firstDataRow="2" firstDataCol="1"/>
  <pivotFields count="7">
    <pivotField dataField="1" showAll="0">
      <items count="16">
        <item x="0"/>
        <item x="1"/>
        <item x="2"/>
        <item x="3"/>
        <item x="4"/>
        <item x="5"/>
        <item x="6"/>
        <item x="7"/>
        <item x="8"/>
        <item x="9"/>
        <item x="10"/>
        <item x="11"/>
        <item x="12"/>
        <item x="13"/>
        <item x="14"/>
        <item t="default"/>
      </items>
    </pivotField>
    <pivotField numFmtId="14" showAll="0"/>
    <pivotField axis="axisRow" showAll="0">
      <items count="9">
        <item x="0"/>
        <item x="1"/>
        <item x="2"/>
        <item x="3"/>
        <item x="4"/>
        <item x="5"/>
        <item x="6"/>
        <item x="7"/>
        <item t="default"/>
      </items>
    </pivotField>
    <pivotField showAll="0"/>
    <pivotField showAll="0"/>
    <pivotField showAll="0"/>
    <pivotField axis="axisCol" showAll="0">
      <items count="4">
        <item x="2"/>
        <item x="0"/>
        <item x="1"/>
        <item t="default"/>
      </items>
    </pivotField>
  </pivotFields>
  <rowFields count="1">
    <field x="2"/>
  </rowFields>
  <rowItems count="9">
    <i>
      <x/>
    </i>
    <i>
      <x v="1"/>
    </i>
    <i>
      <x v="2"/>
    </i>
    <i>
      <x v="3"/>
    </i>
    <i>
      <x v="4"/>
    </i>
    <i>
      <x v="5"/>
    </i>
    <i>
      <x v="6"/>
    </i>
    <i>
      <x v="7"/>
    </i>
    <i t="grand">
      <x/>
    </i>
  </rowItems>
  <colFields count="1">
    <field x="6"/>
  </colFields>
  <colItems count="4">
    <i>
      <x/>
    </i>
    <i>
      <x v="1"/>
    </i>
    <i>
      <x v="2"/>
    </i>
    <i t="grand">
      <x/>
    </i>
  </colItems>
  <dataFields count="1">
    <dataField name="Canal preferé par client" fld="0" subtotal="count" baseField="0" baseItem="0"/>
  </dataFields>
  <formats count="3">
    <format dxfId="171">
      <pivotArea field="2" type="button" dataOnly="0" labelOnly="1" outline="0" axis="axisRow" fieldPosition="0"/>
    </format>
    <format dxfId="170">
      <pivotArea dataOnly="0" labelOnly="1" fieldPosition="0">
        <references count="1">
          <reference field="6" count="0"/>
        </references>
      </pivotArea>
    </format>
    <format dxfId="169">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1DDDF72-4F90-487F-8CBD-C2BF23835112}" name="Tableau croisé dynamique1" cacheId="2" applyNumberFormats="0" applyBorderFormats="0" applyFontFormats="0" applyPatternFormats="0" applyAlignmentFormats="0" applyWidthHeightFormats="1" dataCaption="Valeurs" updatedVersion="8" minRefreshableVersion="3" useAutoFormatting="1" itemPrintTitles="1" createdVersion="8" indent="0" outline="1" outlineData="1" multipleFieldFilters="0">
  <location ref="B36:D42" firstHeaderRow="0" firstDataRow="1" firstDataCol="1"/>
  <pivotFields count="7">
    <pivotField dataField="1" showAll="0"/>
    <pivotField numFmtId="14" showAll="0"/>
    <pivotField showAll="0"/>
    <pivotField showAll="0"/>
    <pivotField axis="axisRow" showAll="0" sortType="descending">
      <items count="6">
        <item x="0"/>
        <item x="1"/>
        <item x="2"/>
        <item x="4"/>
        <item x="3"/>
        <item t="default"/>
      </items>
      <autoSortScope>
        <pivotArea dataOnly="0" outline="0" fieldPosition="0">
          <references count="1">
            <reference field="4294967294" count="1" selected="0">
              <x v="1"/>
            </reference>
          </references>
        </pivotArea>
      </autoSortScope>
    </pivotField>
    <pivotField showAll="0"/>
    <pivotField dataField="1" showAll="0"/>
  </pivotFields>
  <rowFields count="1">
    <field x="4"/>
  </rowFields>
  <rowItems count="6">
    <i>
      <x/>
    </i>
    <i>
      <x v="4"/>
    </i>
    <i>
      <x v="3"/>
    </i>
    <i>
      <x v="1"/>
    </i>
    <i>
      <x v="2"/>
    </i>
    <i t="grand">
      <x/>
    </i>
  </rowItems>
  <colFields count="1">
    <field x="-2"/>
  </colFields>
  <colItems count="2">
    <i>
      <x/>
    </i>
    <i i="1">
      <x v="1"/>
    </i>
  </colItems>
  <dataFields count="2">
    <dataField name="Nombre de transaction_id" fld="0" subtotal="count" baseField="0" baseItem="0"/>
    <dataField name="Somme de montant_fc" fld="6" baseField="0" baseItem="0"/>
  </dataFields>
  <formats count="2">
    <format dxfId="59">
      <pivotArea field="4" type="button" dataOnly="0" labelOnly="1" outline="0" axis="axisRow" fieldPosition="0"/>
    </format>
    <format dxfId="60">
      <pivotArea dataOnly="0" labelOnly="1" outline="0" fieldPosition="0">
        <references count="1">
          <reference field="4294967294" count="2">
            <x v="0"/>
            <x v="1"/>
          </reference>
        </references>
      </pivotArea>
    </format>
  </formats>
  <conditionalFormats count="3">
    <conditionalFormat priority="3">
      <pivotAreas count="1">
        <pivotArea type="data" collapsedLevelsAreSubtotals="1" fieldPosition="0">
          <references count="2">
            <reference field="4294967294" count="1" selected="0">
              <x v="1"/>
            </reference>
            <reference field="4" count="5">
              <x v="0"/>
              <x v="1"/>
              <x v="2"/>
              <x v="3"/>
              <x v="4"/>
            </reference>
          </references>
        </pivotArea>
      </pivotAreas>
    </conditionalFormat>
    <conditionalFormat priority="2">
      <pivotAreas count="1">
        <pivotArea type="data" outline="0" collapsedLevelsAreSubtotals="1" fieldPosition="0">
          <references count="1">
            <reference field="4294967294" count="1" selected="0">
              <x v="1"/>
            </reference>
          </references>
        </pivotArea>
      </pivotAreas>
    </conditionalFormat>
    <conditionalFormat priority="1">
      <pivotAreas count="1">
        <pivotArea type="data" collapsedLevelsAreSubtotals="1" fieldPosition="0">
          <references count="2">
            <reference field="4294967294" count="1" selected="0">
              <x v="1"/>
            </reference>
            <reference field="4" count="5">
              <x v="0"/>
              <x v="1"/>
              <x v="2"/>
              <x v="3"/>
              <x v="4"/>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6B3D1A4-0B77-482E-9D3E-CEB1DCD7B445}" name="Tableau croisé dynamique28" cacheId="2" applyNumberFormats="0" applyBorderFormats="0" applyFontFormats="0" applyPatternFormats="0" applyAlignmentFormats="0" applyWidthHeightFormats="1" dataCaption="Valeurs" updatedVersion="8" minRefreshableVersion="3" useAutoFormatting="1" itemPrintTitles="1" createdVersion="8" indent="0" outline="1" outlineData="1" multipleFieldFilters="0">
  <location ref="B49:H55" firstHeaderRow="1" firstDataRow="2" firstDataCol="1"/>
  <pivotFields count="7">
    <pivotField showAll="0"/>
    <pivotField numFmtId="14" showAll="0"/>
    <pivotField showAll="0"/>
    <pivotField showAll="0"/>
    <pivotField axis="axisCol" showAll="0">
      <items count="6">
        <item x="0"/>
        <item x="1"/>
        <item x="2"/>
        <item x="4"/>
        <item x="3"/>
        <item t="default"/>
      </items>
    </pivotField>
    <pivotField axis="axisRow" showAll="0">
      <items count="5">
        <item x="0"/>
        <item x="2"/>
        <item x="3"/>
        <item x="1"/>
        <item t="default"/>
      </items>
    </pivotField>
    <pivotField dataField="1" showAll="0"/>
  </pivotFields>
  <rowFields count="1">
    <field x="5"/>
  </rowFields>
  <rowItems count="5">
    <i>
      <x/>
    </i>
    <i>
      <x v="1"/>
    </i>
    <i>
      <x v="2"/>
    </i>
    <i>
      <x v="3"/>
    </i>
    <i t="grand">
      <x/>
    </i>
  </rowItems>
  <colFields count="1">
    <field x="4"/>
  </colFields>
  <colItems count="6">
    <i>
      <x/>
    </i>
    <i>
      <x v="1"/>
    </i>
    <i>
      <x v="2"/>
    </i>
    <i>
      <x v="3"/>
    </i>
    <i>
      <x v="4"/>
    </i>
    <i t="grand">
      <x/>
    </i>
  </colItems>
  <dataFields count="1">
    <dataField name="Somme de montant_fc"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77B8F9E-FB0D-490A-8AEA-204AC7739D25}" name="Tableau croisé dynamique26" cacheId="2" applyNumberFormats="0" applyBorderFormats="0" applyFontFormats="0" applyPatternFormats="0" applyAlignmentFormats="0" applyWidthHeightFormats="1" dataCaption="Valeurs" updatedVersion="8" minRefreshableVersion="3" useAutoFormatting="1" itemPrintTitles="1" createdVersion="8" indent="0" outline="1" outlineData="1" multipleFieldFilters="0">
  <location ref="B23:D29" firstHeaderRow="0" firstDataRow="1" firstDataCol="1"/>
  <pivotFields count="7">
    <pivotField dataField="1" showAll="0"/>
    <pivotField numFmtId="14" showAll="0"/>
    <pivotField axis="axisRow" showAll="0" sortType="descending">
      <items count="6">
        <item x="0"/>
        <item x="1"/>
        <item x="2"/>
        <item x="3"/>
        <item x="4"/>
        <item t="default"/>
      </items>
      <autoSortScope>
        <pivotArea dataOnly="0" outline="0" fieldPosition="0">
          <references count="1">
            <reference field="4294967294" count="1" selected="0">
              <x v="1"/>
            </reference>
          </references>
        </pivotArea>
      </autoSortScope>
    </pivotField>
    <pivotField showAll="0"/>
    <pivotField showAll="0"/>
    <pivotField showAll="0"/>
    <pivotField dataField="1" showAll="0"/>
  </pivotFields>
  <rowFields count="1">
    <field x="2"/>
  </rowFields>
  <rowItems count="6">
    <i>
      <x/>
    </i>
    <i>
      <x v="3"/>
    </i>
    <i>
      <x v="4"/>
    </i>
    <i>
      <x v="1"/>
    </i>
    <i>
      <x v="2"/>
    </i>
    <i t="grand">
      <x/>
    </i>
  </rowItems>
  <colFields count="1">
    <field x="-2"/>
  </colFields>
  <colItems count="2">
    <i>
      <x/>
    </i>
    <i i="1">
      <x v="1"/>
    </i>
  </colItems>
  <dataFields count="2">
    <dataField name="Nombre de transaction_id" fld="0" subtotal="count" baseField="0" baseItem="0"/>
    <dataField name="Somme de montant_fc" fld="6" baseField="0" baseItem="0"/>
  </dataFields>
  <formats count="6">
    <format dxfId="132">
      <pivotArea field="2" type="button" dataOnly="0" labelOnly="1" outline="0" axis="axisRow" fieldPosition="0"/>
    </format>
    <format dxfId="131">
      <pivotArea dataOnly="0" labelOnly="1" outline="0" fieldPosition="0">
        <references count="1">
          <reference field="4294967294" count="2">
            <x v="0"/>
            <x v="1"/>
          </reference>
        </references>
      </pivotArea>
    </format>
    <format dxfId="130">
      <pivotArea dataOnly="0" labelOnly="1" fieldPosition="0">
        <references count="1">
          <reference field="2" count="2">
            <x v="1"/>
            <x v="2"/>
          </reference>
        </references>
      </pivotArea>
    </format>
    <format dxfId="129">
      <pivotArea dataOnly="0" labelOnly="1" fieldPosition="0">
        <references count="1">
          <reference field="2" count="2">
            <x v="1"/>
            <x v="2"/>
          </reference>
        </references>
      </pivotArea>
    </format>
    <format dxfId="128">
      <pivotArea dataOnly="0" labelOnly="1" fieldPosition="0">
        <references count="1">
          <reference field="2" count="2">
            <x v="1"/>
            <x v="2"/>
          </reference>
        </references>
      </pivotArea>
    </format>
    <format dxfId="61">
      <pivotArea dataOnly="0" labelOnly="1" fieldPosition="0">
        <references count="1">
          <reference field="2" count="0"/>
        </references>
      </pivotArea>
    </format>
  </formats>
  <conditionalFormats count="2">
    <conditionalFormat priority="11">
      <pivotAreas count="1">
        <pivotArea type="data" collapsedLevelsAreSubtotals="1" fieldPosition="0">
          <references count="2">
            <reference field="4294967294" count="1" selected="0">
              <x v="1"/>
            </reference>
            <reference field="2" count="5">
              <x v="0"/>
              <x v="1"/>
              <x v="2"/>
              <x v="3"/>
              <x v="4"/>
            </reference>
          </references>
        </pivotArea>
      </pivotAreas>
    </conditionalFormat>
    <conditionalFormat priority="6">
      <pivotAreas count="1">
        <pivotArea type="data" collapsedLevelsAreSubtotals="1" fieldPosition="0">
          <references count="2">
            <reference field="4294967294" count="1" selected="0">
              <x v="1"/>
            </reference>
            <reference field="2" count="5">
              <x v="0"/>
              <x v="1"/>
              <x v="2"/>
              <x v="3"/>
              <x v="4"/>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BF1115-1B87-4153-A189-EC270D369D56}" name="Tableau croisé dynamique35" cacheId="3" applyNumberFormats="0" applyBorderFormats="0" applyFontFormats="0" applyPatternFormats="0" applyAlignmentFormats="0" applyWidthHeightFormats="1" dataCaption="Valeurs" updatedVersion="8" minRefreshableVersion="3" useAutoFormatting="1" itemPrintTitles="1" createdVersion="8" indent="0" outline="1" outlineData="1" multipleFieldFilters="0">
  <location ref="I2:Y12" firstHeaderRow="1" firstDataRow="2" firstDataCol="1"/>
  <pivotFields count="6">
    <pivotField axis="axisCol" showAll="0">
      <items count="16">
        <item x="0"/>
        <item x="1"/>
        <item x="2"/>
        <item x="3"/>
        <item x="4"/>
        <item x="5"/>
        <item x="6"/>
        <item x="7"/>
        <item x="8"/>
        <item x="9"/>
        <item x="10"/>
        <item x="11"/>
        <item x="12"/>
        <item x="13"/>
        <item x="14"/>
        <item t="default"/>
      </items>
    </pivotField>
    <pivotField numFmtId="14" showAll="0"/>
    <pivotField axis="axisRow" showAll="0">
      <items count="9">
        <item x="0"/>
        <item x="1"/>
        <item x="2"/>
        <item x="3"/>
        <item x="4"/>
        <item x="5"/>
        <item x="6"/>
        <item x="7"/>
        <item t="default"/>
      </items>
    </pivotField>
    <pivotField showAll="0"/>
    <pivotField showAll="0">
      <items count="5">
        <item x="0"/>
        <item x="2"/>
        <item x="3"/>
        <item x="1"/>
        <item t="default"/>
      </items>
    </pivotField>
    <pivotField dataField="1" showAll="0"/>
  </pivotFields>
  <rowFields count="1">
    <field x="2"/>
  </rowFields>
  <rowItems count="9">
    <i>
      <x/>
    </i>
    <i>
      <x v="1"/>
    </i>
    <i>
      <x v="2"/>
    </i>
    <i>
      <x v="3"/>
    </i>
    <i>
      <x v="4"/>
    </i>
    <i>
      <x v="5"/>
    </i>
    <i>
      <x v="6"/>
    </i>
    <i>
      <x v="7"/>
    </i>
    <i t="grand">
      <x/>
    </i>
  </rowItems>
  <colFields count="1">
    <field x="0"/>
  </colFields>
  <colItems count="16">
    <i>
      <x/>
    </i>
    <i>
      <x v="1"/>
    </i>
    <i>
      <x v="2"/>
    </i>
    <i>
      <x v="3"/>
    </i>
    <i>
      <x v="4"/>
    </i>
    <i>
      <x v="5"/>
    </i>
    <i>
      <x v="6"/>
    </i>
    <i>
      <x v="7"/>
    </i>
    <i>
      <x v="8"/>
    </i>
    <i>
      <x v="9"/>
    </i>
    <i>
      <x v="10"/>
    </i>
    <i>
      <x v="11"/>
    </i>
    <i>
      <x v="12"/>
    </i>
    <i>
      <x v="13"/>
    </i>
    <i>
      <x v="14"/>
    </i>
    <i t="grand">
      <x/>
    </i>
  </colItems>
  <dataFields count="1">
    <dataField name="Somme de montant_fc" fld="5" baseField="0" baseItem="0"/>
  </dataFields>
  <formats count="2">
    <format dxfId="117">
      <pivotArea field="2" type="button" dataOnly="0" labelOnly="1" outline="0" axis="axisRow" fieldPosition="0"/>
    </format>
    <format dxfId="116">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CF2CD07-335D-47F6-B7D4-64AD9F8422C1}" name="Tableau croisé dynamique34" cacheId="3" applyNumberFormats="0" applyBorderFormats="0" applyFontFormats="0" applyPatternFormats="0" applyAlignmentFormats="0" applyWidthHeightFormats="1" dataCaption="Valeurs" updatedVersion="8" minRefreshableVersion="3" useAutoFormatting="1" itemPrintTitles="1" createdVersion="8" indent="0" outline="1" outlineData="1" multipleFieldFilters="0">
  <location ref="B56:C61" firstHeaderRow="1" firstDataRow="1" firstDataCol="1"/>
  <pivotFields count="6">
    <pivotField dataField="1" showAll="0">
      <items count="16">
        <item x="0"/>
        <item x="1"/>
        <item x="2"/>
        <item x="3"/>
        <item x="4"/>
        <item x="5"/>
        <item x="6"/>
        <item x="7"/>
        <item x="8"/>
        <item x="9"/>
        <item x="10"/>
        <item x="11"/>
        <item x="12"/>
        <item x="13"/>
        <item x="14"/>
        <item t="default"/>
      </items>
    </pivotField>
    <pivotField numFmtId="14" showAll="0"/>
    <pivotField showAll="0"/>
    <pivotField showAll="0"/>
    <pivotField axis="axisRow" showAll="0">
      <items count="5">
        <item x="0"/>
        <item x="2"/>
        <item x="3"/>
        <item x="1"/>
        <item t="default"/>
      </items>
    </pivotField>
    <pivotField showAll="0"/>
  </pivotFields>
  <rowFields count="1">
    <field x="4"/>
  </rowFields>
  <rowItems count="5">
    <i>
      <x/>
    </i>
    <i>
      <x v="1"/>
    </i>
    <i>
      <x v="2"/>
    </i>
    <i>
      <x v="3"/>
    </i>
    <i t="grand">
      <x/>
    </i>
  </rowItems>
  <colItems count="1">
    <i/>
  </colItems>
  <dataFields count="1">
    <dataField name="Nombre de transaction_id" fld="0" subtotal="count" baseField="0" baseItem="0"/>
  </dataFields>
  <formats count="3">
    <format dxfId="119">
      <pivotArea field="4" type="button" dataOnly="0" labelOnly="1" outline="0" axis="axisRow" fieldPosition="0"/>
    </format>
    <format dxfId="118">
      <pivotArea dataOnly="0" labelOnly="1" outline="0" axis="axisValues" fieldPosition="0"/>
    </format>
    <format dxfId="37">
      <pivotArea collapsedLevelsAreSubtotals="1" fieldPosition="0">
        <references count="1">
          <reference field="4" count="1">
            <x v="0"/>
          </reference>
        </references>
      </pivotArea>
    </format>
  </formats>
  <conditionalFormats count="4">
    <conditionalFormat priority="12">
      <pivotAreas count="1">
        <pivotArea type="data" collapsedLevelsAreSubtotals="1" fieldPosition="0">
          <references count="2">
            <reference field="4294967294" count="1" selected="0">
              <x v="0"/>
            </reference>
            <reference field="4" count="1">
              <x v="0"/>
            </reference>
          </references>
        </pivotArea>
      </pivotAreas>
    </conditionalFormat>
    <conditionalFormat priority="11">
      <pivotAreas count="1">
        <pivotArea type="data" collapsedLevelsAreSubtotals="1" fieldPosition="0">
          <references count="2">
            <reference field="4294967294" count="1" selected="0">
              <x v="0"/>
            </reference>
            <reference field="4" count="1">
              <x v="0"/>
            </reference>
          </references>
        </pivotArea>
      </pivotAreas>
    </conditionalFormat>
    <conditionalFormat priority="10">
      <pivotAreas count="1">
        <pivotArea type="data" collapsedLevelsAreSubtotals="1" fieldPosition="0">
          <references count="2">
            <reference field="4294967294" count="1" selected="0">
              <x v="0"/>
            </reference>
            <reference field="4" count="1">
              <x v="0"/>
            </reference>
          </references>
        </pivotArea>
      </pivotAreas>
    </conditionalFormat>
    <conditionalFormat priority="9">
      <pivotAreas count="1">
        <pivotArea type="data" collapsedLevelsAreSubtotals="1" fieldPosition="0">
          <references count="2">
            <reference field="4294967294" count="1" selected="0">
              <x v="0"/>
            </reference>
            <reference field="4" count="1">
              <x v="0"/>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2A32755-1450-4078-8441-200639987E8B}" name="Tableau croisé dynamique33" cacheId="3" applyNumberFormats="0" applyBorderFormats="0" applyFontFormats="0" applyPatternFormats="0" applyAlignmentFormats="0" applyWidthHeightFormats="1" dataCaption="Valeurs" updatedVersion="8" minRefreshableVersion="3" useAutoFormatting="1" itemPrintTitles="1" createdVersion="8" indent="0" outline="1" outlineData="1" multipleFieldFilters="0">
  <location ref="B41:C47" firstHeaderRow="1" firstDataRow="1" firstDataCol="1"/>
  <pivotFields count="6">
    <pivotField dataField="1" showAll="0">
      <items count="16">
        <item x="0"/>
        <item x="1"/>
        <item x="2"/>
        <item x="3"/>
        <item x="4"/>
        <item x="5"/>
        <item x="6"/>
        <item x="7"/>
        <item x="8"/>
        <item x="9"/>
        <item x="10"/>
        <item x="11"/>
        <item x="12"/>
        <item x="13"/>
        <item x="14"/>
        <item t="default"/>
      </items>
    </pivotField>
    <pivotField numFmtId="14" showAll="0"/>
    <pivotField showAll="0"/>
    <pivotField axis="axisRow" showAll="0">
      <items count="6">
        <item x="0"/>
        <item x="1"/>
        <item x="3"/>
        <item x="2"/>
        <item x="4"/>
        <item t="default"/>
      </items>
    </pivotField>
    <pivotField showAll="0"/>
    <pivotField showAll="0"/>
  </pivotFields>
  <rowFields count="1">
    <field x="3"/>
  </rowFields>
  <rowItems count="6">
    <i>
      <x/>
    </i>
    <i>
      <x v="1"/>
    </i>
    <i>
      <x v="2"/>
    </i>
    <i>
      <x v="3"/>
    </i>
    <i>
      <x v="4"/>
    </i>
    <i t="grand">
      <x/>
    </i>
  </rowItems>
  <colItems count="1">
    <i/>
  </colItems>
  <dataFields count="1">
    <dataField name="Nombre de transaction_id" fld="0" subtotal="count" baseField="0" baseItem="0"/>
  </dataFields>
  <formats count="3">
    <format dxfId="121">
      <pivotArea field="3" type="button" dataOnly="0" labelOnly="1" outline="0" axis="axisRow" fieldPosition="0"/>
    </format>
    <format dxfId="120">
      <pivotArea dataOnly="0" labelOnly="1" outline="0" axis="axisValues" fieldPosition="0"/>
    </format>
    <format dxfId="53">
      <pivotArea collapsedLevelsAreSubtotals="1" fieldPosition="0">
        <references count="1">
          <reference field="3" count="1">
            <x v="0"/>
          </reference>
        </references>
      </pivotArea>
    </format>
  </formats>
  <conditionalFormats count="4">
    <conditionalFormat priority="20">
      <pivotAreas count="1">
        <pivotArea type="data" collapsedLevelsAreSubtotals="1" fieldPosition="0">
          <references count="2">
            <reference field="4294967294" count="1" selected="0">
              <x v="0"/>
            </reference>
            <reference field="3" count="5">
              <x v="0"/>
              <x v="1"/>
              <x v="2"/>
              <x v="3"/>
              <x v="4"/>
            </reference>
          </references>
        </pivotArea>
      </pivotAreas>
    </conditionalFormat>
    <conditionalFormat priority="19">
      <pivotAreas count="1">
        <pivotArea type="data" collapsedLevelsAreSubtotals="1" fieldPosition="0">
          <references count="2">
            <reference field="4294967294" count="1" selected="0">
              <x v="0"/>
            </reference>
            <reference field="3" count="5">
              <x v="0"/>
              <x v="1"/>
              <x v="2"/>
              <x v="3"/>
              <x v="4"/>
            </reference>
          </references>
        </pivotArea>
      </pivotAreas>
    </conditionalFormat>
    <conditionalFormat priority="14">
      <pivotAreas count="1">
        <pivotArea type="data" collapsedLevelsAreSubtotals="1" fieldPosition="0">
          <references count="2">
            <reference field="4294967294" count="1" selected="0">
              <x v="0"/>
            </reference>
            <reference field="3" count="1">
              <x v="0"/>
            </reference>
          </references>
        </pivotArea>
      </pivotAreas>
    </conditionalFormat>
    <conditionalFormat priority="13">
      <pivotAreas count="1">
        <pivotArea type="data" collapsedLevelsAreSubtotals="1" fieldPosition="0">
          <references count="2">
            <reference field="4294967294" count="1" selected="0">
              <x v="0"/>
            </reference>
            <reference field="3" count="1">
              <x v="0"/>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FBC07AA-ACC0-49E5-BC9B-2B10D6352CD6}" name="Tableau croisé dynamique32" cacheId="3" applyNumberFormats="0" applyBorderFormats="0" applyFontFormats="0" applyPatternFormats="0" applyAlignmentFormats="0" applyWidthHeightFormats="1" dataCaption="Valeurs" updatedVersion="8" minRefreshableVersion="3" useAutoFormatting="1" itemPrintTitles="1" createdVersion="8" indent="0" outline="1" outlineData="1" multipleFieldFilters="0">
  <location ref="B23:C32" firstHeaderRow="1" firstDataRow="1" firstDataCol="1"/>
  <pivotFields count="6">
    <pivotField dataField="1" showAll="0">
      <items count="16">
        <item x="0"/>
        <item x="1"/>
        <item x="2"/>
        <item x="3"/>
        <item x="4"/>
        <item x="5"/>
        <item x="6"/>
        <item x="7"/>
        <item x="8"/>
        <item x="9"/>
        <item x="10"/>
        <item x="11"/>
        <item x="12"/>
        <item x="13"/>
        <item x="14"/>
        <item t="default"/>
      </items>
    </pivotField>
    <pivotField numFmtId="14" showAll="0"/>
    <pivotField axis="axisRow" showAll="0">
      <items count="9">
        <item x="0"/>
        <item x="1"/>
        <item x="2"/>
        <item x="3"/>
        <item x="4"/>
        <item x="5"/>
        <item x="6"/>
        <item x="7"/>
        <item t="default"/>
      </items>
    </pivotField>
    <pivotField showAll="0"/>
    <pivotField showAll="0">
      <items count="5">
        <item x="0"/>
        <item x="2"/>
        <item x="3"/>
        <item x="1"/>
        <item t="default"/>
      </items>
    </pivotField>
    <pivotField showAll="0"/>
  </pivotFields>
  <rowFields count="1">
    <field x="2"/>
  </rowFields>
  <rowItems count="9">
    <i>
      <x/>
    </i>
    <i>
      <x v="1"/>
    </i>
    <i>
      <x v="2"/>
    </i>
    <i>
      <x v="3"/>
    </i>
    <i>
      <x v="4"/>
    </i>
    <i>
      <x v="5"/>
    </i>
    <i>
      <x v="6"/>
    </i>
    <i>
      <x v="7"/>
    </i>
    <i t="grand">
      <x/>
    </i>
  </rowItems>
  <colItems count="1">
    <i/>
  </colItems>
  <dataFields count="1">
    <dataField name="Nombre de transaction_id" fld="0" subtotal="count" baseField="0" baseItem="0"/>
  </dataFields>
  <formats count="3">
    <format dxfId="54">
      <pivotArea field="2" type="button" dataOnly="0" labelOnly="1" outline="0" axis="axisRow" fieldPosition="0"/>
    </format>
    <format dxfId="55">
      <pivotArea dataOnly="0" labelOnly="1" outline="0" axis="axisValues" fieldPosition="0"/>
    </format>
    <format dxfId="56">
      <pivotArea collapsedLevelsAreSubtotals="1" fieldPosition="0">
        <references count="1">
          <reference field="2" count="5">
            <x v="3"/>
            <x v="4"/>
            <x v="5"/>
            <x v="6"/>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F47745C-4696-420B-92A1-AB6748DDECE4}" name="Tableau croisé dynamique37" cacheId="4" applyNumberFormats="0" applyBorderFormats="0" applyFontFormats="0" applyPatternFormats="0" applyAlignmentFormats="0" applyWidthHeightFormats="1" dataCaption="Valeurs" updatedVersion="8" minRefreshableVersion="3" useAutoFormatting="1" itemPrintTitles="1" createdVersion="8" indent="0" outline="1" outlineData="1" multipleFieldFilters="0" rowHeaderCaption="Periodes">
  <location ref="J12:T17" firstHeaderRow="1" firstDataRow="2" firstDataCol="1"/>
  <pivotFields count="7">
    <pivotField dataField="1" showAll="0"/>
    <pivotField numFmtId="14" showAll="0"/>
    <pivotField showAll="0">
      <items count="10">
        <item x="0"/>
        <item x="1"/>
        <item x="2"/>
        <item x="3"/>
        <item x="4"/>
        <item x="5"/>
        <item x="6"/>
        <item x="7"/>
        <item x="8"/>
        <item t="default"/>
      </items>
    </pivotField>
    <pivotField axis="axisCol" showAll="0">
      <items count="10">
        <item x="6"/>
        <item x="0"/>
        <item x="5"/>
        <item x="1"/>
        <item x="4"/>
        <item x="2"/>
        <item x="3"/>
        <item x="7"/>
        <item x="8"/>
        <item t="default"/>
      </items>
    </pivotField>
    <pivotField showAll="0"/>
    <pivotField showAll="0"/>
    <pivotField axis="axisRow" showAll="0">
      <items count="4">
        <item x="0"/>
        <item x="1"/>
        <item x="2"/>
        <item t="default"/>
      </items>
    </pivotField>
  </pivotFields>
  <rowFields count="1">
    <field x="6"/>
  </rowFields>
  <rowItems count="4">
    <i>
      <x/>
    </i>
    <i>
      <x v="1"/>
    </i>
    <i>
      <x v="2"/>
    </i>
    <i t="grand">
      <x/>
    </i>
  </rowItems>
  <colFields count="1">
    <field x="3"/>
  </colFields>
  <colItems count="10">
    <i>
      <x/>
    </i>
    <i>
      <x v="1"/>
    </i>
    <i>
      <x v="2"/>
    </i>
    <i>
      <x v="3"/>
    </i>
    <i>
      <x v="4"/>
    </i>
    <i>
      <x v="5"/>
    </i>
    <i>
      <x v="6"/>
    </i>
    <i>
      <x v="7"/>
    </i>
    <i>
      <x v="8"/>
    </i>
    <i t="grand">
      <x/>
    </i>
  </colItems>
  <dataFields count="1">
    <dataField name="Nombre de transaction_id" fld="0" subtotal="count" baseField="0" baseItem="0"/>
  </dataFields>
  <formats count="8">
    <format dxfId="77">
      <pivotArea collapsedLevelsAreSubtotals="1" fieldPosition="0">
        <references count="2">
          <reference field="3" count="1" selected="0">
            <x v="7"/>
          </reference>
          <reference field="6" count="1">
            <x v="1"/>
          </reference>
        </references>
      </pivotArea>
    </format>
    <format dxfId="76">
      <pivotArea collapsedLevelsAreSubtotals="1" fieldPosition="0">
        <references count="2">
          <reference field="3" count="1" selected="0">
            <x v="4"/>
          </reference>
          <reference field="6" count="1">
            <x v="1"/>
          </reference>
        </references>
      </pivotArea>
    </format>
    <format dxfId="75">
      <pivotArea collapsedLevelsAreSubtotals="1" fieldPosition="0">
        <references count="2">
          <reference field="3" count="1" selected="0">
            <x v="2"/>
          </reference>
          <reference field="6" count="1">
            <x v="1"/>
          </reference>
        </references>
      </pivotArea>
    </format>
    <format dxfId="74">
      <pivotArea collapsedLevelsAreSubtotals="1" fieldPosition="0">
        <references count="2">
          <reference field="3" count="1" selected="0">
            <x v="0"/>
          </reference>
          <reference field="6" count="1">
            <x v="1"/>
          </reference>
        </references>
      </pivotArea>
    </format>
    <format dxfId="73">
      <pivotArea field="6" type="button" dataOnly="0" labelOnly="1" outline="0" axis="axisRow" fieldPosition="0"/>
    </format>
    <format dxfId="72">
      <pivotArea dataOnly="0" labelOnly="1" fieldPosition="0">
        <references count="1">
          <reference field="3" count="0"/>
        </references>
      </pivotArea>
    </format>
    <format dxfId="71">
      <pivotArea dataOnly="0" labelOnly="1" grandCol="1" outline="0" fieldPosition="0"/>
    </format>
    <format dxfId="70">
      <pivotArea collapsedLevelsAreSubtotals="1" fieldPosition="0">
        <references count="2">
          <reference field="3" count="1" selected="0">
            <x v="8"/>
          </reference>
          <reference field="6" count="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E2F9B57-B688-4923-9689-D300C6FD2A2D}" name="Tableau croisé dynamique36" cacheId="4" applyNumberFormats="0" applyBorderFormats="0" applyFontFormats="0" applyPatternFormats="0" applyAlignmentFormats="0" applyWidthHeightFormats="1" dataCaption="Valeurs" updatedVersion="8" minRefreshableVersion="3" useAutoFormatting="1" itemPrintTitles="1" createdVersion="8" indent="0" outline="1" outlineData="1" multipleFieldFilters="0" rowHeaderCaption="Periodes">
  <location ref="J2:T7" firstHeaderRow="1" firstDataRow="2" firstDataCol="1"/>
  <pivotFields count="7">
    <pivotField dataField="1" showAll="0"/>
    <pivotField numFmtId="14" showAll="0"/>
    <pivotField axis="axisCol" showAll="0">
      <items count="10">
        <item x="0"/>
        <item x="1"/>
        <item x="2"/>
        <item x="3"/>
        <item x="4"/>
        <item x="5"/>
        <item x="6"/>
        <item x="7"/>
        <item x="8"/>
        <item t="default"/>
      </items>
    </pivotField>
    <pivotField showAll="0"/>
    <pivotField showAll="0"/>
    <pivotField showAll="0"/>
    <pivotField axis="axisRow" showAll="0">
      <items count="4">
        <item x="0"/>
        <item x="1"/>
        <item x="2"/>
        <item t="default"/>
      </items>
    </pivotField>
  </pivotFields>
  <rowFields count="1">
    <field x="6"/>
  </rowFields>
  <rowItems count="4">
    <i>
      <x/>
    </i>
    <i>
      <x v="1"/>
    </i>
    <i>
      <x v="2"/>
    </i>
    <i t="grand">
      <x/>
    </i>
  </rowItems>
  <colFields count="1">
    <field x="2"/>
  </colFields>
  <colItems count="10">
    <i>
      <x/>
    </i>
    <i>
      <x v="1"/>
    </i>
    <i>
      <x v="2"/>
    </i>
    <i>
      <x v="3"/>
    </i>
    <i>
      <x v="4"/>
    </i>
    <i>
      <x v="5"/>
    </i>
    <i>
      <x v="6"/>
    </i>
    <i>
      <x v="7"/>
    </i>
    <i>
      <x v="8"/>
    </i>
    <i t="grand">
      <x/>
    </i>
  </colItems>
  <dataFields count="1">
    <dataField name="Nombre de transaction_id" fld="0" subtotal="count" baseField="0" baseItem="0"/>
  </dataFields>
  <formats count="6">
    <format dxfId="83">
      <pivotArea collapsedLevelsAreSubtotals="1" fieldPosition="0">
        <references count="2">
          <reference field="2" count="4" selected="0">
            <x v="4"/>
            <x v="5"/>
            <x v="6"/>
            <x v="7"/>
          </reference>
          <reference field="6" count="1">
            <x v="1"/>
          </reference>
        </references>
      </pivotArea>
    </format>
    <format dxfId="82">
      <pivotArea collapsedLevelsAreSubtotals="1" fieldPosition="0">
        <references count="2">
          <reference field="2" count="1" selected="0">
            <x v="8"/>
          </reference>
          <reference field="6" count="1">
            <x v="2"/>
          </reference>
        </references>
      </pivotArea>
    </format>
    <format dxfId="81">
      <pivotArea collapsedLevelsAreSubtotals="1" fieldPosition="0">
        <references count="2">
          <reference field="2" count="1" selected="0">
            <x v="0"/>
          </reference>
          <reference field="6" count="1">
            <x v="1"/>
          </reference>
        </references>
      </pivotArea>
    </format>
    <format dxfId="80">
      <pivotArea type="origin" dataOnly="0" labelOnly="1" outline="0" fieldPosition="0"/>
    </format>
    <format dxfId="79">
      <pivotArea field="2" type="button" dataOnly="0" labelOnly="1" outline="0" axis="axisCol" fieldPosition="0"/>
    </format>
    <format dxfId="78">
      <pivotArea type="topRight" dataOnly="0" labelOnly="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508B158-EB77-4324-A140-92124BCC4586}" name="Tableau croisé dynamique39" cacheId="4" applyNumberFormats="0" applyBorderFormats="0" applyFontFormats="0" applyPatternFormats="0" applyAlignmentFormats="0" applyWidthHeightFormats="1" dataCaption="Valeurs" updatedVersion="8" minRefreshableVersion="3" useAutoFormatting="1" itemPrintTitles="1" createdVersion="8" indent="0" outline="1" outlineData="1" multipleFieldFilters="0" rowHeaderCaption="Periodes">
  <location ref="M19:AG25" firstHeaderRow="1" firstDataRow="3" firstDataCol="1"/>
  <pivotFields count="7">
    <pivotField dataField="1" showAll="0">
      <items count="16">
        <item x="0"/>
        <item x="1"/>
        <item x="2"/>
        <item x="3"/>
        <item x="4"/>
        <item x="5"/>
        <item x="6"/>
        <item x="7"/>
        <item x="8"/>
        <item x="9"/>
        <item x="10"/>
        <item x="11"/>
        <item x="12"/>
        <item x="13"/>
        <item x="14"/>
        <item t="default"/>
      </items>
    </pivotField>
    <pivotField numFmtId="14" showAll="0"/>
    <pivotField axis="axisCol" showAll="0">
      <items count="10">
        <item x="0"/>
        <item x="1"/>
        <item x="2"/>
        <item x="3"/>
        <item x="4"/>
        <item x="5"/>
        <item x="6"/>
        <item x="7"/>
        <item x="8"/>
        <item t="default"/>
      </items>
    </pivotField>
    <pivotField showAll="0">
      <items count="10">
        <item x="6"/>
        <item x="0"/>
        <item x="5"/>
        <item x="1"/>
        <item x="4"/>
        <item x="2"/>
        <item x="3"/>
        <item x="7"/>
        <item x="8"/>
        <item t="default"/>
      </items>
    </pivotField>
    <pivotField showAll="0"/>
    <pivotField dataField="1" showAll="0"/>
    <pivotField axis="axisRow" showAll="0">
      <items count="4">
        <item x="0"/>
        <item x="1"/>
        <item x="2"/>
        <item t="default"/>
      </items>
    </pivotField>
  </pivotFields>
  <rowFields count="1">
    <field x="6"/>
  </rowFields>
  <rowItems count="4">
    <i>
      <x/>
    </i>
    <i>
      <x v="1"/>
    </i>
    <i>
      <x v="2"/>
    </i>
    <i t="grand">
      <x/>
    </i>
  </rowItems>
  <colFields count="2">
    <field x="2"/>
    <field x="-2"/>
  </colFields>
  <colItems count="20">
    <i>
      <x/>
      <x/>
    </i>
    <i r="1" i="1">
      <x v="1"/>
    </i>
    <i>
      <x v="1"/>
      <x/>
    </i>
    <i r="1" i="1">
      <x v="1"/>
    </i>
    <i>
      <x v="2"/>
      <x/>
    </i>
    <i r="1" i="1">
      <x v="1"/>
    </i>
    <i>
      <x v="3"/>
      <x/>
    </i>
    <i r="1" i="1">
      <x v="1"/>
    </i>
    <i>
      <x v="4"/>
      <x/>
    </i>
    <i r="1" i="1">
      <x v="1"/>
    </i>
    <i>
      <x v="5"/>
      <x/>
    </i>
    <i r="1" i="1">
      <x v="1"/>
    </i>
    <i>
      <x v="6"/>
      <x/>
    </i>
    <i r="1" i="1">
      <x v="1"/>
    </i>
    <i>
      <x v="7"/>
      <x/>
    </i>
    <i r="1" i="1">
      <x v="1"/>
    </i>
    <i>
      <x v="8"/>
      <x/>
    </i>
    <i r="1" i="1">
      <x v="1"/>
    </i>
    <i t="grand">
      <x/>
    </i>
    <i t="grand" i="1">
      <x/>
    </i>
  </colItems>
  <dataFields count="2">
    <dataField name="Somme de montant_fc" fld="5" baseField="0" baseItem="0"/>
    <dataField name="Nombre de transaction_id" fld="0" subtotal="count" baseField="0" baseItem="0"/>
  </dataFields>
  <formats count="24">
    <format dxfId="107">
      <pivotArea dataOnly="0" labelOnly="1" outline="0" axis="axisValues" fieldPosition="0"/>
    </format>
    <format dxfId="106">
      <pivotArea type="origin" dataOnly="0" labelOnly="1" outline="0" fieldPosition="0"/>
    </format>
    <format dxfId="105">
      <pivotArea field="2" type="button" dataOnly="0" labelOnly="1" outline="0" axis="axisCol" fieldPosition="0"/>
    </format>
    <format dxfId="104">
      <pivotArea type="topRight" dataOnly="0" labelOnly="1" outline="0" fieldPosition="0"/>
    </format>
    <format dxfId="103">
      <pivotArea collapsedLevelsAreSubtotals="1" fieldPosition="0">
        <references count="1">
          <reference field="6" count="0"/>
        </references>
      </pivotArea>
    </format>
    <format dxfId="102">
      <pivotArea field="6" type="button" dataOnly="0" labelOnly="1" outline="0" axis="axisRow" fieldPosition="0"/>
    </format>
    <format dxfId="101">
      <pivotArea dataOnly="0" labelOnly="1" outline="0" fieldPosition="0">
        <references count="2">
          <reference field="4294967294" count="2">
            <x v="0"/>
            <x v="1"/>
          </reference>
          <reference field="2" count="1" selected="0">
            <x v="0"/>
          </reference>
        </references>
      </pivotArea>
    </format>
    <format dxfId="100">
      <pivotArea dataOnly="0" labelOnly="1" outline="0" fieldPosition="0">
        <references count="2">
          <reference field="4294967294" count="2">
            <x v="0"/>
            <x v="1"/>
          </reference>
          <reference field="2" count="1" selected="0">
            <x v="1"/>
          </reference>
        </references>
      </pivotArea>
    </format>
    <format dxfId="99">
      <pivotArea dataOnly="0" labelOnly="1" outline="0" fieldPosition="0">
        <references count="2">
          <reference field="4294967294" count="2">
            <x v="0"/>
            <x v="1"/>
          </reference>
          <reference field="2" count="1" selected="0">
            <x v="2"/>
          </reference>
        </references>
      </pivotArea>
    </format>
    <format dxfId="98">
      <pivotArea dataOnly="0" labelOnly="1" outline="0" fieldPosition="0">
        <references count="2">
          <reference field="4294967294" count="2">
            <x v="0"/>
            <x v="1"/>
          </reference>
          <reference field="2" count="1" selected="0">
            <x v="3"/>
          </reference>
        </references>
      </pivotArea>
    </format>
    <format dxfId="97">
      <pivotArea dataOnly="0" labelOnly="1" outline="0" fieldPosition="0">
        <references count="2">
          <reference field="4294967294" count="2">
            <x v="0"/>
            <x v="1"/>
          </reference>
          <reference field="2" count="1" selected="0">
            <x v="4"/>
          </reference>
        </references>
      </pivotArea>
    </format>
    <format dxfId="96">
      <pivotArea dataOnly="0" labelOnly="1" outline="0" fieldPosition="0">
        <references count="2">
          <reference field="4294967294" count="2">
            <x v="0"/>
            <x v="1"/>
          </reference>
          <reference field="2" count="1" selected="0">
            <x v="5"/>
          </reference>
        </references>
      </pivotArea>
    </format>
    <format dxfId="95">
      <pivotArea dataOnly="0" labelOnly="1" outline="0" fieldPosition="0">
        <references count="2">
          <reference field="4294967294" count="2">
            <x v="0"/>
            <x v="1"/>
          </reference>
          <reference field="2" count="1" selected="0">
            <x v="6"/>
          </reference>
        </references>
      </pivotArea>
    </format>
    <format dxfId="94">
      <pivotArea dataOnly="0" labelOnly="1" outline="0" fieldPosition="0">
        <references count="2">
          <reference field="4294967294" count="2">
            <x v="0"/>
            <x v="1"/>
          </reference>
          <reference field="2" count="1" selected="0">
            <x v="7"/>
          </reference>
        </references>
      </pivotArea>
    </format>
    <format dxfId="93">
      <pivotArea dataOnly="0" labelOnly="1" outline="0" fieldPosition="0">
        <references count="2">
          <reference field="4294967294" count="2">
            <x v="0"/>
            <x v="1"/>
          </reference>
          <reference field="2" count="1" selected="0">
            <x v="8"/>
          </reference>
        </references>
      </pivotArea>
    </format>
    <format dxfId="92">
      <pivotArea dataOnly="0" labelOnly="1" outline="0" fieldPosition="0">
        <references count="2">
          <reference field="4294967294" count="1">
            <x v="0"/>
          </reference>
          <reference field="2" count="1" selected="0">
            <x v="1"/>
          </reference>
        </references>
      </pivotArea>
    </format>
    <format dxfId="91">
      <pivotArea dataOnly="0" labelOnly="1" fieldPosition="0">
        <references count="1">
          <reference field="2" count="1">
            <x v="0"/>
          </reference>
        </references>
      </pivotArea>
    </format>
    <format dxfId="90">
      <pivotArea dataOnly="0" labelOnly="1" fieldPosition="0">
        <references count="1">
          <reference field="2" count="1">
            <x v="1"/>
          </reference>
        </references>
      </pivotArea>
    </format>
    <format dxfId="89">
      <pivotArea dataOnly="0" labelOnly="1" fieldPosition="0">
        <references count="1">
          <reference field="2" count="7">
            <x v="2"/>
            <x v="3"/>
            <x v="4"/>
            <x v="5"/>
            <x v="6"/>
            <x v="7"/>
            <x v="8"/>
          </reference>
        </references>
      </pivotArea>
    </format>
    <format dxfId="88">
      <pivotArea field="2" dataOnly="0" labelOnly="1" grandCol="1" outline="0" axis="axisCol" fieldPosition="0">
        <references count="1">
          <reference field="4294967294" count="1" selected="0">
            <x v="0"/>
          </reference>
        </references>
      </pivotArea>
    </format>
    <format dxfId="87">
      <pivotArea field="2" dataOnly="0" labelOnly="1" grandCol="1" outline="0" axis="axisCol" fieldPosition="0">
        <references count="1">
          <reference field="4294967294" count="1" selected="0">
            <x v="1"/>
          </reference>
        </references>
      </pivotArea>
    </format>
    <format dxfId="86">
      <pivotArea collapsedLevelsAreSubtotals="1" fieldPosition="0">
        <references count="3">
          <reference field="4294967294" count="1" selected="0">
            <x v="0"/>
          </reference>
          <reference field="2" count="1" selected="0">
            <x v="0"/>
          </reference>
          <reference field="6" count="0"/>
        </references>
      </pivotArea>
    </format>
    <format dxfId="85">
      <pivotArea collapsedLevelsAreSubtotals="1" fieldPosition="0">
        <references count="3">
          <reference field="4294967294" count="1" selected="0">
            <x v="1"/>
          </reference>
          <reference field="2" count="1" selected="0">
            <x v="0"/>
          </reference>
          <reference field="6" count="0"/>
        </references>
      </pivotArea>
    </format>
    <format dxfId="84">
      <pivotArea collapsedLevelsAreSubtotals="1" fieldPosition="0">
        <references count="3">
          <reference field="4294967294" count="1" selected="0">
            <x v="0"/>
          </reference>
          <reference field="2" count="1" selected="0">
            <x v="1"/>
          </reference>
          <reference field="6"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9B725E5-E44B-4C51-9E5D-DFB5B7840FB2}" name="Tableau croisé dynamique38" cacheId="4" applyNumberFormats="0" applyBorderFormats="0" applyFontFormats="0" applyPatternFormats="0" applyAlignmentFormats="0" applyWidthHeightFormats="1" dataCaption="Valeurs" updatedVersion="8" minRefreshableVersion="3" useAutoFormatting="1" itemPrintTitles="1" createdVersion="8" indent="0" outline="1" outlineData="1" multipleFieldFilters="0" rowHeaderCaption="Periodes">
  <location ref="J21:K25" firstHeaderRow="1" firstDataRow="1" firstDataCol="1"/>
  <pivotFields count="7">
    <pivotField showAll="0"/>
    <pivotField numFmtId="14" showAll="0"/>
    <pivotField showAll="0">
      <items count="10">
        <item x="0"/>
        <item x="1"/>
        <item x="2"/>
        <item x="3"/>
        <item x="4"/>
        <item x="5"/>
        <item x="6"/>
        <item x="7"/>
        <item x="8"/>
        <item t="default"/>
      </items>
    </pivotField>
    <pivotField showAll="0">
      <items count="10">
        <item x="6"/>
        <item x="0"/>
        <item x="5"/>
        <item x="1"/>
        <item x="4"/>
        <item x="2"/>
        <item x="3"/>
        <item x="7"/>
        <item x="8"/>
        <item t="default"/>
      </items>
    </pivotField>
    <pivotField showAll="0"/>
    <pivotField dataField="1" showAll="0"/>
    <pivotField axis="axisRow" showAll="0">
      <items count="4">
        <item x="0"/>
        <item x="1"/>
        <item x="2"/>
        <item t="default"/>
      </items>
    </pivotField>
  </pivotFields>
  <rowFields count="1">
    <field x="6"/>
  </rowFields>
  <rowItems count="4">
    <i>
      <x/>
    </i>
    <i>
      <x v="1"/>
    </i>
    <i>
      <x v="2"/>
    </i>
    <i t="grand">
      <x/>
    </i>
  </rowItems>
  <colItems count="1">
    <i/>
  </colItems>
  <dataFields count="1">
    <dataField name="CA" fld="5" baseField="6" baseItem="0"/>
  </dataFields>
  <formats count="2">
    <format dxfId="109">
      <pivotArea field="6" type="button" dataOnly="0" labelOnly="1" outline="0" axis="axisRow" fieldPosition="0"/>
    </format>
    <format dxfId="108">
      <pivotArea dataOnly="0" labelOnly="1" outline="0" axis="axisValues" fieldPosition="0"/>
    </format>
  </formats>
  <conditionalFormats count="1">
    <conditionalFormat priority="2">
      <pivotAreas count="1">
        <pivotArea type="data" collapsedLevelsAreSubtotals="1" fieldPosition="0">
          <references count="2">
            <reference field="4294967294" count="1" selected="0">
              <x v="0"/>
            </reference>
            <reference field="6" count="3">
              <x v="0"/>
              <x v="1"/>
              <x v="2"/>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onnéesExternes_1" connectionId="2" xr16:uid="{B3B079C8-ED50-4C60-8A56-19395ED10755}" autoFormatId="16" applyNumberFormats="0" applyBorderFormats="0" applyFontFormats="0" applyPatternFormats="0" applyAlignmentFormats="0" applyWidthHeightFormats="0">
  <queryTableRefresh nextId="8">
    <queryTableFields count="7">
      <queryTableField id="1" name="transaction_id" tableColumnId="1"/>
      <queryTableField id="2" name="date" tableColumnId="2"/>
      <queryTableField id="3" name="client_id" tableColumnId="3"/>
      <queryTableField id="4" name="commune" tableColumnId="4"/>
      <queryTableField id="5" name="produit" tableColumnId="5"/>
      <queryTableField id="6" name="montant_fc" tableColumnId="6"/>
      <queryTableField id="7" name="canal"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onnéesExternes_1" connectionId="3" xr16:uid="{301BC666-7C2A-4E15-8EA0-99A3975FCBDA}" autoFormatId="16" applyNumberFormats="0" applyBorderFormats="0" applyFontFormats="0" applyPatternFormats="0" applyAlignmentFormats="0" applyWidthHeightFormats="0">
  <queryTableRefresh nextId="8">
    <queryTableFields count="7">
      <queryTableField id="1" name="transaction_id" tableColumnId="1"/>
      <queryTableField id="2" name="date" tableColumnId="2"/>
      <queryTableField id="3" name="agent_id" tableColumnId="3"/>
      <queryTableField id="4" name="client_id" tableColumnId="4"/>
      <queryTableField id="5" name="commune" tableColumnId="5"/>
      <queryTableField id="6" name="produit" tableColumnId="6"/>
      <queryTableField id="7" name="montant_fc" tableColumnId="7"/>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onnéesExternes_1" connectionId="4" xr16:uid="{E13B1BE9-7263-438F-8772-7D7D87F1E646}" autoFormatId="16" applyNumberFormats="0" applyBorderFormats="0" applyFontFormats="0" applyPatternFormats="0" applyAlignmentFormats="0" applyWidthHeightFormats="0">
  <queryTableRefresh nextId="8">
    <queryTableFields count="7">
      <queryTableField id="1" name="transaction_id" tableColumnId="1"/>
      <queryTableField id="2" name="date" tableColumnId="2"/>
      <queryTableField id="3" name="client_id" tableColumnId="3"/>
      <queryTableField id="4" name="commune" tableColumnId="4"/>
      <queryTableField id="5" name="produit" tableColumnId="5"/>
      <queryTableField id="6" name="montant_fc" tableColumnId="6"/>
      <queryTableField id="7" name="periode" tableColumnId="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_client_id" xr10:uid="{3FE73BA6-A65D-4028-BE6C-20286D840348}" sourceName="client_id">
  <pivotTables>
    <pivotTable tabId="5" name="Tableau croisé dynamique25"/>
  </pivotTables>
  <data>
    <tabular pivotCacheId="1733318224">
      <items count="8">
        <i x="0" s="1"/>
        <i x="1"/>
        <i x="2"/>
        <i x="3"/>
        <i x="4"/>
        <i x="5"/>
        <i x="6"/>
        <i x="7"/>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lient_id" xr10:uid="{4998D9F1-0C79-47C4-950B-7FFF942CD57A}" cache="Segment_client_id" caption="client_id" columnCount="8" rowHeight="3600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EC83A65-D9A6-475F-8D16-1CE811FFF2E9}" name="Tableau1" displayName="Tableau1" ref="B3:H13" totalsRowShown="0" headerRowDxfId="180" dataDxfId="179">
  <autoFilter ref="B3:H13" xr:uid="{6EC83A65-D9A6-475F-8D16-1CE811FFF2E9}"/>
  <tableColumns count="7">
    <tableColumn id="1" xr3:uid="{54537CD7-847D-4C04-9BD6-B993FB8C0924}" name="transaction_id" dataDxfId="178"/>
    <tableColumn id="2" xr3:uid="{7DFAA592-DC98-463C-A6AF-A94A0F915646}" name="date" dataDxfId="177"/>
    <tableColumn id="3" xr3:uid="{122DF7BD-714F-4B55-830F-7573F364E80A}" name="client_id" dataDxfId="176"/>
    <tableColumn id="4" xr3:uid="{1B94713D-DD23-416E-B23B-98EF629AFCBE}" name="commune" dataDxfId="175"/>
    <tableColumn id="5" xr3:uid="{084E48D7-3EDD-4FC4-B38B-BD3872EDFF23}" name="produit" dataDxfId="174"/>
    <tableColumn id="6" xr3:uid="{D1BF92F6-B520-4D49-B97E-C1395DDE5A98}" name="montant_fc" dataDxfId="173"/>
    <tableColumn id="7" xr3:uid="{21C18558-D71D-47B7-B0D0-001594508953}" name="canal" dataDxfId="17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B43BC6D-66A6-432F-982F-C406FA282078}" name="Dataset_day2__2" displayName="Dataset_day2__2" ref="B2:H17" tableType="queryTable" totalsRowShown="0">
  <autoFilter ref="B2:H17" xr:uid="{5B43BC6D-66A6-432F-982F-C406FA282078}"/>
  <tableColumns count="7">
    <tableColumn id="1" xr3:uid="{F0363F15-00D8-44D9-B9E8-73E1201A36E6}" uniqueName="1" name="transaction_id" queryTableFieldId="1" dataDxfId="138"/>
    <tableColumn id="2" xr3:uid="{85F76B94-3323-41EB-B99E-F9DE7DD9EF5D}" uniqueName="2" name="date" queryTableFieldId="2" dataDxfId="137"/>
    <tableColumn id="3" xr3:uid="{90258075-E8BA-4181-AEBF-14DCE9CF1AC4}" uniqueName="3" name="client_id" queryTableFieldId="3" dataDxfId="136"/>
    <tableColumn id="4" xr3:uid="{3B088930-C813-470C-9790-11DA318C42A1}" uniqueName="4" name="commune" queryTableFieldId="4" dataDxfId="135"/>
    <tableColumn id="5" xr3:uid="{E074DF00-E0E7-41D6-B91A-ABE22CB1881A}" uniqueName="5" name="produit" queryTableFieldId="5" dataDxfId="134"/>
    <tableColumn id="6" xr3:uid="{7C01ABE9-F9C0-40F6-9F95-D610FB820086}" uniqueName="6" name="montant_fc" queryTableFieldId="6"/>
    <tableColumn id="7" xr3:uid="{30F6D1BA-4065-4D54-BF94-1BE05C99AC63}" uniqueName="7" name="canal" queryTableFieldId="7" dataDxfId="13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4A0DCA2-C1C4-44D4-AD45-BDA248A44995}" name="Dataset_day3" displayName="Dataset_day3" ref="B2:H17" tableType="queryTable" totalsRowShown="0">
  <autoFilter ref="B2:H17" xr:uid="{A4A0DCA2-C1C4-44D4-AD45-BDA248A44995}"/>
  <tableColumns count="7">
    <tableColumn id="1" xr3:uid="{A0067E32-0369-4D8A-BDF1-C8B907B86BD0}" uniqueName="1" name="transaction_id" queryTableFieldId="1" dataDxfId="127"/>
    <tableColumn id="2" xr3:uid="{C68FAFFA-BEA0-4F94-BA99-6450F477971E}" uniqueName="2" name="date" queryTableFieldId="2" dataDxfId="126"/>
    <tableColumn id="3" xr3:uid="{CDF65428-BE02-471D-A8F7-90F1D8454251}" uniqueName="3" name="agent_id" queryTableFieldId="3" dataDxfId="125"/>
    <tableColumn id="4" xr3:uid="{22F84FAA-57F1-425F-B37C-F8428C49E033}" uniqueName="4" name="client_id" queryTableFieldId="4" dataDxfId="124"/>
    <tableColumn id="5" xr3:uid="{93A8CFD1-D585-478D-9AFB-02301838500E}" uniqueName="5" name="commune" queryTableFieldId="5" dataDxfId="123"/>
    <tableColumn id="6" xr3:uid="{956E7CEA-E833-4F96-9E51-2D67194B8C61}" uniqueName="6" name="produit" queryTableFieldId="6" dataDxfId="122"/>
    <tableColumn id="7" xr3:uid="{E636C8A0-3C3C-48BE-AFE5-1B3DB129CA7E}" uniqueName="7" name="montant_fc" queryTableFieldId="7"/>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B24B926-8F3E-4EE6-9138-D47BB2378B02}" name="Dataset_day4" displayName="Dataset_day4" ref="B2:G17" totalsRowShown="0">
  <autoFilter ref="B2:G17" xr:uid="{AB24B926-8F3E-4EE6-9138-D47BB2378B02}"/>
  <tableColumns count="6">
    <tableColumn id="1" xr3:uid="{2FA77349-5B7D-430C-A299-CA8EF8B94F8F}" name="transaction_id" dataDxfId="115"/>
    <tableColumn id="2" xr3:uid="{EA88A0A8-EDC4-468E-80F4-EF0578FE9A03}" name="date" dataDxfId="114"/>
    <tableColumn id="3" xr3:uid="{811F8411-B146-492E-A697-2D905854F94D}" name="client_id" dataDxfId="113"/>
    <tableColumn id="4" xr3:uid="{7B37CE19-01A8-4470-8A2B-849B751FB37D}" name="commune" dataDxfId="112"/>
    <tableColumn id="5" xr3:uid="{863A1A63-AC11-4715-82E2-F6EC444E5B51}" name="produit" dataDxfId="111"/>
    <tableColumn id="6" xr3:uid="{DDFB738A-4C05-4F97-882D-16FE65EF8A7E}" name="montant_fc"/>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1C5B688-9C67-4CAD-9DAE-7207D5E5E850}" name="Tableau9" displayName="Tableau9" ref="AA3:AA11" totalsRowShown="0" headerRowDxfId="110">
  <autoFilter ref="AA3:AA11" xr:uid="{B1C5B688-9C67-4CAD-9DAE-7207D5E5E850}"/>
  <sortState xmlns:xlrd2="http://schemas.microsoft.com/office/spreadsheetml/2017/richdata2" ref="AA4:AA11">
    <sortCondition ref="AA3:AA11"/>
  </sortState>
  <tableColumns count="1">
    <tableColumn id="1" xr3:uid="{F0281C12-33A8-4A9F-A45D-97A8594EFF99}" name="Panier moyen">
      <calculatedColumnFormula>AVERAGE(J4:X4)</calculatedColumnFormula>
    </tableColumn>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4A92EC0-501A-4751-9A16-2163E0BD39EA}" name="Dataset_day5" displayName="Dataset_day5" ref="B2:H17" tableType="queryTable" totalsRowShown="0" headerRowDxfId="69">
  <autoFilter ref="B2:H17" xr:uid="{C4A92EC0-501A-4751-9A16-2163E0BD39EA}"/>
  <tableColumns count="7">
    <tableColumn id="1" xr3:uid="{FBC21564-1B48-423F-AFDB-04B5AE20CF75}" uniqueName="1" name="transaction_id" queryTableFieldId="1" dataDxfId="68"/>
    <tableColumn id="2" xr3:uid="{CA4A50D7-5720-4F71-ACD1-3781681C0231}" uniqueName="2" name="date" queryTableFieldId="2" dataDxfId="67"/>
    <tableColumn id="3" xr3:uid="{A265E5F8-50A6-4DD3-8C5E-10BB05E3F126}" uniqueName="3" name="client_id" queryTableFieldId="3" dataDxfId="66"/>
    <tableColumn id="4" xr3:uid="{0E595B89-2727-474B-B4A6-66BC0AC0864A}" uniqueName="4" name="commune" queryTableFieldId="4" dataDxfId="65"/>
    <tableColumn id="5" xr3:uid="{4D992877-9744-466D-982E-E1F06CDEF762}" uniqueName="5" name="produit" queryTableFieldId="5" dataDxfId="64"/>
    <tableColumn id="6" xr3:uid="{D10FAE6E-7969-4551-94AB-82C2D27DFD50}" uniqueName="6" name="montant_fc" queryTableFieldId="6"/>
    <tableColumn id="7" xr3:uid="{7306D68B-3C9A-40F7-A0D9-E00CC8C73541}" uniqueName="7" name="periode" queryTableFieldId="7" dataDxfId="63"/>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8E59C74-D329-4B48-A967-CC868365949C}" name="Tableau5" displayName="Tableau5" ref="A1:G6" totalsRowShown="0">
  <autoFilter ref="A1:G6" xr:uid="{68E59C74-D329-4B48-A967-CC868365949C}"/>
  <tableColumns count="7">
    <tableColumn id="1" xr3:uid="{C102BD58-3DF8-48B7-9114-2067608D3DB4}" name="transaction_id"/>
    <tableColumn id="2" xr3:uid="{998F6E83-476D-414D-8353-8E6146354739}" name="date" dataDxfId="62"/>
    <tableColumn id="3" xr3:uid="{1ACC5CD9-2A0F-4DB2-B7B7-A25781DA1795}" name="agent_id"/>
    <tableColumn id="4" xr3:uid="{D4B111D2-01DE-4AFC-91B0-641E23172B8C}" name="client_id"/>
    <tableColumn id="5" xr3:uid="{C0E2906A-2633-4FB3-89D8-883ADDF86D4F}" name="commune"/>
    <tableColumn id="6" xr3:uid="{B6077FBA-5F20-4AB8-BFE4-BFF51FADC96B}" name="produit"/>
    <tableColumn id="7" xr3:uid="{49B54692-17C9-4F9C-9A72-2752C8646EAF}" name="montant_fc"/>
  </tableColumns>
  <tableStyleInfo name="TableStyleMedium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table" Target="../tables/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7.xml"/><Relationship Id="rId7" Type="http://schemas.openxmlformats.org/officeDocument/2006/relationships/table" Target="../tables/table2.xml"/><Relationship Id="rId2" Type="http://schemas.openxmlformats.org/officeDocument/2006/relationships/pivotTable" Target="../pivotTables/pivotTable6.xml"/><Relationship Id="rId1" Type="http://schemas.openxmlformats.org/officeDocument/2006/relationships/pivotTable" Target="../pivotTables/pivotTable5.xm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pivotTable" Target="../pivotTables/pivotTable8.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14.xml"/><Relationship Id="rId7" Type="http://schemas.openxmlformats.org/officeDocument/2006/relationships/table" Target="../tables/table5.xml"/><Relationship Id="rId2" Type="http://schemas.openxmlformats.org/officeDocument/2006/relationships/pivotTable" Target="../pivotTables/pivotTable13.xml"/><Relationship Id="rId1" Type="http://schemas.openxmlformats.org/officeDocument/2006/relationships/pivotTable" Target="../pivotTables/pivotTable12.xml"/><Relationship Id="rId6" Type="http://schemas.openxmlformats.org/officeDocument/2006/relationships/table" Target="../tables/table4.xml"/><Relationship Id="rId5" Type="http://schemas.openxmlformats.org/officeDocument/2006/relationships/printerSettings" Target="../printerSettings/printerSettings3.bin"/><Relationship Id="rId4" Type="http://schemas.openxmlformats.org/officeDocument/2006/relationships/pivotTable" Target="../pivotTables/pivotTable15.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18.xml"/><Relationship Id="rId2" Type="http://schemas.openxmlformats.org/officeDocument/2006/relationships/pivotTable" Target="../pivotTables/pivotTable17.xml"/><Relationship Id="rId1" Type="http://schemas.openxmlformats.org/officeDocument/2006/relationships/pivotTable" Target="../pivotTables/pivotTable16.xml"/><Relationship Id="rId5" Type="http://schemas.openxmlformats.org/officeDocument/2006/relationships/table" Target="../tables/table6.xml"/><Relationship Id="rId4" Type="http://schemas.openxmlformats.org/officeDocument/2006/relationships/pivotTable" Target="../pivotTables/pivotTable19.xml"/></Relationships>
</file>

<file path=xl/worksheets/_rels/sheet6.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3012F-C756-4CF6-A456-1922518EC017}">
  <dimension ref="A2:I79"/>
  <sheetViews>
    <sheetView topLeftCell="A22" workbookViewId="0">
      <selection activeCell="E69" sqref="E69"/>
    </sheetView>
  </sheetViews>
  <sheetFormatPr baseColWidth="10" defaultRowHeight="15" x14ac:dyDescent="0.25"/>
  <cols>
    <col min="2" max="2" width="21.42578125" bestFit="1" customWidth="1"/>
    <col min="3" max="4" width="24.42578125" bestFit="1" customWidth="1"/>
    <col min="5" max="9" width="21.42578125" bestFit="1" customWidth="1"/>
    <col min="10" max="10" width="21.85546875" bestFit="1" customWidth="1"/>
    <col min="11" max="12" width="21.42578125" bestFit="1" customWidth="1"/>
  </cols>
  <sheetData>
    <row r="2" spans="1:9" x14ac:dyDescent="0.25">
      <c r="B2" s="48" t="s">
        <v>43</v>
      </c>
      <c r="C2" s="48"/>
      <c r="D2" s="48"/>
      <c r="E2" s="48"/>
      <c r="F2" s="48"/>
      <c r="G2" s="48"/>
      <c r="H2" s="48"/>
    </row>
    <row r="3" spans="1:9" x14ac:dyDescent="0.25">
      <c r="A3" s="12" t="s">
        <v>174</v>
      </c>
      <c r="B3" s="2" t="s">
        <v>0</v>
      </c>
      <c r="C3" s="2" t="s">
        <v>1</v>
      </c>
      <c r="D3" s="2" t="s">
        <v>2</v>
      </c>
      <c r="E3" s="2" t="s">
        <v>3</v>
      </c>
      <c r="F3" s="2" t="s">
        <v>4</v>
      </c>
      <c r="G3" s="4" t="s">
        <v>5</v>
      </c>
      <c r="H3" s="2" t="s">
        <v>6</v>
      </c>
      <c r="I3" s="2"/>
    </row>
    <row r="4" spans="1:9" x14ac:dyDescent="0.25">
      <c r="A4" s="13">
        <v>1</v>
      </c>
      <c r="B4" s="5" t="s">
        <v>7</v>
      </c>
      <c r="C4" s="7">
        <v>46143</v>
      </c>
      <c r="D4" s="5" t="s">
        <v>8</v>
      </c>
      <c r="E4" s="5" t="s">
        <v>9</v>
      </c>
      <c r="F4" s="5" t="s">
        <v>10</v>
      </c>
      <c r="G4" s="3">
        <v>10000</v>
      </c>
      <c r="H4" s="5" t="s">
        <v>11</v>
      </c>
    </row>
    <row r="5" spans="1:9" x14ac:dyDescent="0.25">
      <c r="A5" s="14">
        <v>2</v>
      </c>
      <c r="B5" s="5" t="s">
        <v>12</v>
      </c>
      <c r="C5" s="7">
        <v>46143</v>
      </c>
      <c r="D5" s="5" t="s">
        <v>13</v>
      </c>
      <c r="E5" s="5" t="s">
        <v>14</v>
      </c>
      <c r="F5" s="5" t="s">
        <v>15</v>
      </c>
      <c r="G5" s="3">
        <v>3000</v>
      </c>
      <c r="H5" s="5" t="s">
        <v>16</v>
      </c>
    </row>
    <row r="6" spans="1:9" x14ac:dyDescent="0.25">
      <c r="A6" s="13">
        <v>3</v>
      </c>
      <c r="B6" s="5" t="s">
        <v>17</v>
      </c>
      <c r="C6" s="7">
        <v>46143</v>
      </c>
      <c r="D6" s="5" t="s">
        <v>18</v>
      </c>
      <c r="E6" s="5" t="s">
        <v>19</v>
      </c>
      <c r="F6" s="5" t="s">
        <v>10</v>
      </c>
      <c r="G6" s="3">
        <v>10000</v>
      </c>
      <c r="H6" s="5" t="s">
        <v>20</v>
      </c>
    </row>
    <row r="7" spans="1:9" x14ac:dyDescent="0.25">
      <c r="A7" s="14">
        <v>4</v>
      </c>
      <c r="B7" s="5" t="s">
        <v>21</v>
      </c>
      <c r="C7" s="7">
        <v>46144</v>
      </c>
      <c r="D7" s="5" t="s">
        <v>8</v>
      </c>
      <c r="E7" s="5" t="s">
        <v>9</v>
      </c>
      <c r="F7" s="5" t="s">
        <v>22</v>
      </c>
      <c r="G7" s="3">
        <v>1000</v>
      </c>
      <c r="H7" s="5" t="s">
        <v>11</v>
      </c>
    </row>
    <row r="8" spans="1:9" x14ac:dyDescent="0.25">
      <c r="A8" s="13">
        <v>5</v>
      </c>
      <c r="B8" s="5" t="s">
        <v>23</v>
      </c>
      <c r="C8" s="7">
        <v>46144</v>
      </c>
      <c r="D8" s="5" t="s">
        <v>24</v>
      </c>
      <c r="E8" s="5" t="s">
        <v>25</v>
      </c>
      <c r="F8" s="5" t="s">
        <v>26</v>
      </c>
      <c r="G8" s="3">
        <v>18000</v>
      </c>
      <c r="H8" s="5" t="s">
        <v>20</v>
      </c>
    </row>
    <row r="9" spans="1:9" x14ac:dyDescent="0.25">
      <c r="A9" s="14">
        <v>6</v>
      </c>
      <c r="B9" s="5" t="s">
        <v>27</v>
      </c>
      <c r="C9" s="7">
        <v>46144</v>
      </c>
      <c r="D9" s="5" t="s">
        <v>28</v>
      </c>
      <c r="E9" s="5" t="s">
        <v>14</v>
      </c>
      <c r="F9" s="5" t="s">
        <v>15</v>
      </c>
      <c r="G9" s="3">
        <v>3000</v>
      </c>
      <c r="H9" s="5" t="s">
        <v>16</v>
      </c>
    </row>
    <row r="10" spans="1:9" x14ac:dyDescent="0.25">
      <c r="A10" s="13">
        <v>7</v>
      </c>
      <c r="B10" s="5" t="s">
        <v>29</v>
      </c>
      <c r="C10" s="7">
        <v>46145</v>
      </c>
      <c r="D10" s="5" t="s">
        <v>30</v>
      </c>
      <c r="E10" s="5" t="s">
        <v>31</v>
      </c>
      <c r="F10" s="5" t="s">
        <v>10</v>
      </c>
      <c r="G10" s="3">
        <v>10000</v>
      </c>
      <c r="H10" s="5" t="s">
        <v>20</v>
      </c>
    </row>
    <row r="11" spans="1:9" x14ac:dyDescent="0.25">
      <c r="A11" s="14">
        <v>8</v>
      </c>
      <c r="B11" s="5" t="s">
        <v>32</v>
      </c>
      <c r="C11" s="7">
        <v>46145</v>
      </c>
      <c r="D11" s="5" t="s">
        <v>13</v>
      </c>
      <c r="E11" s="5" t="s">
        <v>14</v>
      </c>
      <c r="F11" s="5" t="s">
        <v>15</v>
      </c>
      <c r="G11" s="3">
        <v>3000</v>
      </c>
      <c r="H11" s="5" t="s">
        <v>16</v>
      </c>
    </row>
    <row r="12" spans="1:9" x14ac:dyDescent="0.25">
      <c r="A12" s="13">
        <v>9</v>
      </c>
      <c r="B12" s="5" t="s">
        <v>33</v>
      </c>
      <c r="C12" s="7">
        <v>46145</v>
      </c>
      <c r="D12" s="5" t="s">
        <v>34</v>
      </c>
      <c r="E12" s="5" t="s">
        <v>9</v>
      </c>
      <c r="F12" s="5" t="s">
        <v>26</v>
      </c>
      <c r="G12" s="3">
        <v>18000</v>
      </c>
      <c r="H12" s="5" t="s">
        <v>11</v>
      </c>
    </row>
    <row r="13" spans="1:9" x14ac:dyDescent="0.25">
      <c r="A13" s="14">
        <v>10</v>
      </c>
      <c r="B13" s="5" t="s">
        <v>35</v>
      </c>
      <c r="C13" s="7">
        <v>46145</v>
      </c>
      <c r="D13" s="5" t="s">
        <v>36</v>
      </c>
      <c r="E13" s="5" t="s">
        <v>19</v>
      </c>
      <c r="F13" s="5" t="s">
        <v>22</v>
      </c>
      <c r="G13" s="3">
        <v>1000</v>
      </c>
      <c r="H13" s="5" t="s">
        <v>20</v>
      </c>
    </row>
    <row r="14" spans="1:9" x14ac:dyDescent="0.25">
      <c r="B14" s="5"/>
      <c r="C14" s="7"/>
      <c r="D14" s="5"/>
      <c r="E14" s="5"/>
      <c r="F14" s="5"/>
      <c r="G14" s="3"/>
      <c r="H14" s="5"/>
    </row>
    <row r="15" spans="1:9" ht="32.25" customHeight="1" x14ac:dyDescent="0.25">
      <c r="B15" s="50" t="s">
        <v>169</v>
      </c>
      <c r="C15" s="51"/>
      <c r="D15" s="51"/>
      <c r="E15" s="51"/>
      <c r="F15" s="51"/>
      <c r="G15" s="51"/>
      <c r="H15" s="51"/>
    </row>
    <row r="16" spans="1:9" ht="18.75" x14ac:dyDescent="0.25">
      <c r="B16" s="35"/>
      <c r="C16" s="1"/>
      <c r="D16" s="1"/>
      <c r="E16" s="1"/>
      <c r="F16" s="1"/>
      <c r="G16" s="1"/>
      <c r="H16" s="1"/>
    </row>
    <row r="17" spans="2:7" ht="18.75" customHeight="1" x14ac:dyDescent="0.25">
      <c r="B17" s="50" t="s">
        <v>170</v>
      </c>
      <c r="C17" s="50"/>
      <c r="D17" s="50"/>
      <c r="E17" s="36"/>
    </row>
    <row r="19" spans="2:7" x14ac:dyDescent="0.25">
      <c r="B19" s="48" t="s">
        <v>44</v>
      </c>
      <c r="C19" s="48"/>
    </row>
    <row r="20" spans="2:7" x14ac:dyDescent="0.25">
      <c r="B20" s="8" t="s">
        <v>38</v>
      </c>
      <c r="C20" t="s">
        <v>41</v>
      </c>
    </row>
    <row r="21" spans="2:7" x14ac:dyDescent="0.25">
      <c r="B21" s="17">
        <v>46143</v>
      </c>
      <c r="C21" s="10">
        <v>23000</v>
      </c>
    </row>
    <row r="22" spans="2:7" x14ac:dyDescent="0.25">
      <c r="B22" s="17">
        <v>46144</v>
      </c>
      <c r="C22" s="10">
        <v>22000</v>
      </c>
    </row>
    <row r="23" spans="2:7" x14ac:dyDescent="0.25">
      <c r="B23" s="17">
        <v>46145</v>
      </c>
      <c r="C23" s="10">
        <v>32000</v>
      </c>
    </row>
    <row r="24" spans="2:7" x14ac:dyDescent="0.25">
      <c r="B24" s="17" t="s">
        <v>37</v>
      </c>
      <c r="C24" s="10">
        <v>77000</v>
      </c>
    </row>
    <row r="26" spans="2:7" ht="15" customHeight="1" x14ac:dyDescent="0.25">
      <c r="B26" s="60" t="s">
        <v>205</v>
      </c>
      <c r="C26" s="60"/>
      <c r="D26" s="60"/>
    </row>
    <row r="27" spans="2:7" ht="19.5" customHeight="1" x14ac:dyDescent="0.25">
      <c r="B27" s="60"/>
      <c r="C27" s="60"/>
      <c r="D27" s="60"/>
    </row>
    <row r="28" spans="2:7" x14ac:dyDescent="0.25">
      <c r="B28" s="61"/>
      <c r="C28" s="61"/>
      <c r="D28" s="61"/>
    </row>
    <row r="29" spans="2:7" x14ac:dyDescent="0.25">
      <c r="B29" s="59"/>
      <c r="C29" s="10"/>
    </row>
    <row r="30" spans="2:7" ht="18.75" customHeight="1" x14ac:dyDescent="0.25">
      <c r="B30" s="50" t="s">
        <v>171</v>
      </c>
      <c r="C30" s="50"/>
      <c r="D30" s="50"/>
      <c r="E30" s="36"/>
      <c r="F30" s="1"/>
      <c r="G30" s="1"/>
    </row>
    <row r="32" spans="2:7" x14ac:dyDescent="0.25">
      <c r="B32" s="48" t="s">
        <v>45</v>
      </c>
      <c r="C32" s="48"/>
    </row>
    <row r="33" spans="2:4" x14ac:dyDescent="0.25">
      <c r="B33" s="8" t="s">
        <v>38</v>
      </c>
      <c r="C33" t="s">
        <v>207</v>
      </c>
    </row>
    <row r="34" spans="2:4" x14ac:dyDescent="0.25">
      <c r="B34" s="37" t="s">
        <v>9</v>
      </c>
      <c r="C34" s="21">
        <v>29000</v>
      </c>
    </row>
    <row r="35" spans="2:4" x14ac:dyDescent="0.25">
      <c r="B35" s="9" t="s">
        <v>25</v>
      </c>
      <c r="C35" s="10">
        <v>18000</v>
      </c>
    </row>
    <row r="36" spans="2:4" x14ac:dyDescent="0.25">
      <c r="B36" s="9" t="s">
        <v>19</v>
      </c>
      <c r="C36" s="10">
        <v>11000</v>
      </c>
    </row>
    <row r="37" spans="2:4" x14ac:dyDescent="0.25">
      <c r="B37" s="9" t="s">
        <v>31</v>
      </c>
      <c r="C37" s="10">
        <v>10000</v>
      </c>
    </row>
    <row r="38" spans="2:4" x14ac:dyDescent="0.25">
      <c r="B38" s="9" t="s">
        <v>14</v>
      </c>
      <c r="C38" s="10">
        <v>9000</v>
      </c>
    </row>
    <row r="39" spans="2:4" x14ac:dyDescent="0.25">
      <c r="B39" s="9" t="s">
        <v>40</v>
      </c>
      <c r="C39" s="10">
        <v>77000</v>
      </c>
    </row>
    <row r="41" spans="2:4" x14ac:dyDescent="0.25">
      <c r="B41" s="59" t="s">
        <v>206</v>
      </c>
    </row>
    <row r="42" spans="2:4" x14ac:dyDescent="0.25">
      <c r="B42" s="59"/>
    </row>
    <row r="44" spans="2:4" ht="18.75" x14ac:dyDescent="0.25">
      <c r="B44" s="50" t="s">
        <v>172</v>
      </c>
      <c r="C44" s="50"/>
      <c r="D44" s="50"/>
    </row>
    <row r="46" spans="2:4" x14ac:dyDescent="0.25">
      <c r="B46" s="48" t="s">
        <v>46</v>
      </c>
      <c r="C46" s="48"/>
    </row>
    <row r="47" spans="2:4" x14ac:dyDescent="0.25">
      <c r="B47" s="8" t="s">
        <v>38</v>
      </c>
      <c r="C47" t="s">
        <v>207</v>
      </c>
    </row>
    <row r="48" spans="2:4" x14ac:dyDescent="0.25">
      <c r="B48" s="15" t="s">
        <v>26</v>
      </c>
      <c r="C48" s="16">
        <v>36000</v>
      </c>
    </row>
    <row r="49" spans="2:4" x14ac:dyDescent="0.25">
      <c r="B49" s="9" t="s">
        <v>10</v>
      </c>
      <c r="C49" s="10">
        <v>30000</v>
      </c>
    </row>
    <row r="50" spans="2:4" x14ac:dyDescent="0.25">
      <c r="B50" s="9" t="s">
        <v>15</v>
      </c>
      <c r="C50" s="10">
        <v>9000</v>
      </c>
    </row>
    <row r="51" spans="2:4" x14ac:dyDescent="0.25">
      <c r="B51" s="9" t="s">
        <v>22</v>
      </c>
      <c r="C51" s="10">
        <v>2000</v>
      </c>
    </row>
    <row r="52" spans="2:4" x14ac:dyDescent="0.25">
      <c r="B52" s="9" t="s">
        <v>40</v>
      </c>
      <c r="C52" s="10">
        <v>77000</v>
      </c>
    </row>
    <row r="53" spans="2:4" x14ac:dyDescent="0.25">
      <c r="B53" s="9"/>
      <c r="C53" s="10"/>
    </row>
    <row r="54" spans="2:4" x14ac:dyDescent="0.25">
      <c r="B54" s="59" t="s">
        <v>208</v>
      </c>
      <c r="C54" s="10"/>
    </row>
    <row r="55" spans="2:4" x14ac:dyDescent="0.25">
      <c r="B55" s="59"/>
      <c r="C55" s="10"/>
    </row>
    <row r="57" spans="2:4" ht="18.75" x14ac:dyDescent="0.25">
      <c r="B57" s="50" t="s">
        <v>173</v>
      </c>
      <c r="C57" s="50"/>
      <c r="D57" s="50"/>
    </row>
    <row r="59" spans="2:4" x14ac:dyDescent="0.25">
      <c r="B59" s="48" t="s">
        <v>47</v>
      </c>
      <c r="C59" s="49"/>
    </row>
    <row r="60" spans="2:4" x14ac:dyDescent="0.25">
      <c r="B60" s="8" t="s">
        <v>38</v>
      </c>
      <c r="C60" t="s">
        <v>39</v>
      </c>
    </row>
    <row r="61" spans="2:4" x14ac:dyDescent="0.25">
      <c r="B61" s="15" t="s">
        <v>20</v>
      </c>
      <c r="C61" s="16">
        <v>4</v>
      </c>
    </row>
    <row r="62" spans="2:4" x14ac:dyDescent="0.25">
      <c r="B62" s="9" t="s">
        <v>11</v>
      </c>
      <c r="C62" s="10">
        <v>3</v>
      </c>
    </row>
    <row r="63" spans="2:4" x14ac:dyDescent="0.25">
      <c r="B63" s="9" t="s">
        <v>16</v>
      </c>
      <c r="C63" s="10">
        <v>3</v>
      </c>
    </row>
    <row r="64" spans="2:4" x14ac:dyDescent="0.25">
      <c r="B64" s="9" t="s">
        <v>40</v>
      </c>
      <c r="C64" s="10">
        <v>10</v>
      </c>
    </row>
    <row r="66" spans="2:5" x14ac:dyDescent="0.25">
      <c r="B66" s="9" t="s">
        <v>203</v>
      </c>
    </row>
    <row r="67" spans="2:5" x14ac:dyDescent="0.25">
      <c r="B67" s="9"/>
    </row>
    <row r="68" spans="2:5" x14ac:dyDescent="0.25">
      <c r="B68" s="9"/>
    </row>
    <row r="69" spans="2:5" ht="18.75" x14ac:dyDescent="0.3">
      <c r="B69" s="52" t="s">
        <v>180</v>
      </c>
      <c r="C69" s="52"/>
    </row>
    <row r="71" spans="2:5" x14ac:dyDescent="0.25">
      <c r="B71" s="53" t="s">
        <v>181</v>
      </c>
      <c r="C71" s="53"/>
      <c r="D71" s="53"/>
      <c r="E71" s="53"/>
    </row>
    <row r="72" spans="2:5" x14ac:dyDescent="0.25">
      <c r="B72" s="53"/>
      <c r="C72" s="53"/>
      <c r="D72" s="53"/>
      <c r="E72" s="53"/>
    </row>
    <row r="73" spans="2:5" ht="15.75" x14ac:dyDescent="0.25">
      <c r="B73" s="39"/>
      <c r="C73" s="39"/>
      <c r="D73" s="39"/>
      <c r="E73" s="39"/>
    </row>
    <row r="74" spans="2:5" ht="18.75" x14ac:dyDescent="0.3">
      <c r="B74" s="40" t="s">
        <v>175</v>
      </c>
    </row>
    <row r="75" spans="2:5" x14ac:dyDescent="0.25">
      <c r="B75" s="38"/>
    </row>
    <row r="76" spans="2:5" ht="15.75" x14ac:dyDescent="0.25">
      <c r="B76" s="41" t="s">
        <v>176</v>
      </c>
    </row>
    <row r="77" spans="2:5" ht="15.75" x14ac:dyDescent="0.25">
      <c r="B77" s="41" t="s">
        <v>177</v>
      </c>
    </row>
    <row r="78" spans="2:5" ht="15.75" x14ac:dyDescent="0.25">
      <c r="B78" s="41" t="s">
        <v>178</v>
      </c>
    </row>
    <row r="79" spans="2:5" ht="15.75" x14ac:dyDescent="0.25">
      <c r="B79" s="41" t="s">
        <v>179</v>
      </c>
    </row>
  </sheetData>
  <mergeCells count="13">
    <mergeCell ref="B69:C69"/>
    <mergeCell ref="B71:E72"/>
    <mergeCell ref="B26:D27"/>
    <mergeCell ref="B2:H2"/>
    <mergeCell ref="B19:C19"/>
    <mergeCell ref="B32:C32"/>
    <mergeCell ref="B46:C46"/>
    <mergeCell ref="B59:C59"/>
    <mergeCell ref="B15:H15"/>
    <mergeCell ref="B17:D17"/>
    <mergeCell ref="B30:D30"/>
    <mergeCell ref="B44:D44"/>
    <mergeCell ref="B57:D57"/>
  </mergeCells>
  <conditionalFormatting pivot="1" sqref="C34:C38">
    <cfRule type="colorScale" priority="3">
      <colorScale>
        <cfvo type="min"/>
        <cfvo type="percentile" val="50"/>
        <cfvo type="max"/>
        <color rgb="FFF8696B"/>
        <color rgb="FFFFEB84"/>
        <color rgb="FF63BE7B"/>
      </colorScale>
    </cfRule>
  </conditionalFormatting>
  <conditionalFormatting sqref="B34">
    <cfRule type="colorScale" priority="2">
      <colorScale>
        <cfvo type="min"/>
        <cfvo type="percentile" val="50"/>
        <cfvo type="max"/>
        <color rgb="FFF8696B"/>
        <color rgb="FFFFEB84"/>
        <color rgb="FF63BE7B"/>
      </colorScale>
    </cfRule>
  </conditionalFormatting>
  <conditionalFormatting pivot="1" sqref="C48:C51">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5"/>
  <tableParts count="1">
    <tablePart r:id="rId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D5758-93E2-487B-85C5-0ABD94158F0A}">
  <dimension ref="B2:T92"/>
  <sheetViews>
    <sheetView topLeftCell="A56" zoomScaleNormal="100" workbookViewId="0">
      <selection activeCell="B70" sqref="B70"/>
    </sheetView>
  </sheetViews>
  <sheetFormatPr baseColWidth="10" defaultRowHeight="15" x14ac:dyDescent="0.25"/>
  <cols>
    <col min="1" max="1" width="7.140625" customWidth="1"/>
    <col min="2" max="2" width="15.42578125" bestFit="1" customWidth="1"/>
    <col min="3" max="3" width="24.42578125" bestFit="1" customWidth="1"/>
    <col min="4" max="4" width="11.140625" bestFit="1" customWidth="1"/>
    <col min="5" max="5" width="12.28515625" bestFit="1" customWidth="1"/>
    <col min="6" max="6" width="11.140625" bestFit="1" customWidth="1"/>
    <col min="7" max="7" width="13.7109375" bestFit="1" customWidth="1"/>
    <col min="8" max="8" width="11.140625" bestFit="1" customWidth="1"/>
    <col min="9" max="9" width="13.7109375" bestFit="1" customWidth="1"/>
    <col min="10" max="10" width="11.140625" customWidth="1"/>
    <col min="11" max="11" width="13" bestFit="1" customWidth="1"/>
    <col min="12" max="12" width="10.5703125" bestFit="1" customWidth="1"/>
    <col min="13" max="13" width="13.7109375" bestFit="1" customWidth="1"/>
    <col min="14" max="14" width="11.140625" bestFit="1" customWidth="1"/>
    <col min="15" max="15" width="13" bestFit="1" customWidth="1"/>
    <col min="16" max="16" width="11.140625" bestFit="1" customWidth="1"/>
    <col min="17" max="17" width="13" bestFit="1" customWidth="1"/>
    <col min="18" max="18" width="11.140625" bestFit="1" customWidth="1"/>
    <col min="19" max="19" width="10.5703125" customWidth="1"/>
    <col min="20" max="20" width="11.140625" bestFit="1" customWidth="1"/>
  </cols>
  <sheetData>
    <row r="2" spans="2:8" x14ac:dyDescent="0.25">
      <c r="B2" t="s">
        <v>0</v>
      </c>
      <c r="C2" t="s">
        <v>1</v>
      </c>
      <c r="D2" t="s">
        <v>2</v>
      </c>
      <c r="E2" t="s">
        <v>3</v>
      </c>
      <c r="F2" t="s">
        <v>4</v>
      </c>
      <c r="G2" t="s">
        <v>5</v>
      </c>
      <c r="H2" t="s">
        <v>6</v>
      </c>
    </row>
    <row r="3" spans="2:8" x14ac:dyDescent="0.25">
      <c r="B3" s="10" t="s">
        <v>48</v>
      </c>
      <c r="C3" s="6">
        <v>46146</v>
      </c>
      <c r="D3" s="10" t="s">
        <v>8</v>
      </c>
      <c r="E3" s="10" t="s">
        <v>9</v>
      </c>
      <c r="F3" s="10" t="s">
        <v>26</v>
      </c>
      <c r="G3">
        <v>18000</v>
      </c>
      <c r="H3" s="10" t="s">
        <v>11</v>
      </c>
    </row>
    <row r="4" spans="2:8" x14ac:dyDescent="0.25">
      <c r="B4" s="10" t="s">
        <v>49</v>
      </c>
      <c r="C4" s="6">
        <v>46146</v>
      </c>
      <c r="D4" s="10" t="s">
        <v>13</v>
      </c>
      <c r="E4" s="10" t="s">
        <v>14</v>
      </c>
      <c r="F4" s="10" t="s">
        <v>15</v>
      </c>
      <c r="G4">
        <v>3000</v>
      </c>
      <c r="H4" s="10" t="s">
        <v>16</v>
      </c>
    </row>
    <row r="5" spans="2:8" x14ac:dyDescent="0.25">
      <c r="B5" s="10" t="s">
        <v>50</v>
      </c>
      <c r="C5" s="6">
        <v>46146</v>
      </c>
      <c r="D5" s="10" t="s">
        <v>8</v>
      </c>
      <c r="E5" s="10" t="s">
        <v>9</v>
      </c>
      <c r="F5" s="10" t="s">
        <v>10</v>
      </c>
      <c r="G5">
        <v>10000</v>
      </c>
      <c r="H5" s="10" t="s">
        <v>11</v>
      </c>
    </row>
    <row r="6" spans="2:8" x14ac:dyDescent="0.25">
      <c r="B6" s="10" t="s">
        <v>51</v>
      </c>
      <c r="C6" s="6">
        <v>46146</v>
      </c>
      <c r="D6" s="10" t="s">
        <v>52</v>
      </c>
      <c r="E6" s="10" t="s">
        <v>19</v>
      </c>
      <c r="F6" s="10" t="s">
        <v>22</v>
      </c>
      <c r="G6">
        <v>1000</v>
      </c>
      <c r="H6" s="10" t="s">
        <v>20</v>
      </c>
    </row>
    <row r="7" spans="2:8" x14ac:dyDescent="0.25">
      <c r="B7" s="10" t="s">
        <v>53</v>
      </c>
      <c r="C7" s="6">
        <v>46146</v>
      </c>
      <c r="D7" s="10" t="s">
        <v>54</v>
      </c>
      <c r="E7" s="10" t="s">
        <v>31</v>
      </c>
      <c r="F7" s="10" t="s">
        <v>26</v>
      </c>
      <c r="G7">
        <v>18000</v>
      </c>
      <c r="H7" s="10" t="s">
        <v>20</v>
      </c>
    </row>
    <row r="8" spans="2:8" x14ac:dyDescent="0.25">
      <c r="B8" s="10" t="s">
        <v>55</v>
      </c>
      <c r="C8" s="6">
        <v>46147</v>
      </c>
      <c r="D8" s="10" t="s">
        <v>8</v>
      </c>
      <c r="E8" s="10" t="s">
        <v>9</v>
      </c>
      <c r="F8" s="10" t="s">
        <v>26</v>
      </c>
      <c r="G8">
        <v>18000</v>
      </c>
      <c r="H8" s="10" t="s">
        <v>11</v>
      </c>
    </row>
    <row r="9" spans="2:8" x14ac:dyDescent="0.25">
      <c r="B9" s="10" t="s">
        <v>56</v>
      </c>
      <c r="C9" s="6">
        <v>46147</v>
      </c>
      <c r="D9" s="10" t="s">
        <v>13</v>
      </c>
      <c r="E9" s="10" t="s">
        <v>14</v>
      </c>
      <c r="F9" s="10" t="s">
        <v>15</v>
      </c>
      <c r="G9">
        <v>3000</v>
      </c>
      <c r="H9" s="10" t="s">
        <v>16</v>
      </c>
    </row>
    <row r="10" spans="2:8" x14ac:dyDescent="0.25">
      <c r="B10" s="10" t="s">
        <v>57</v>
      </c>
      <c r="C10" s="6">
        <v>46147</v>
      </c>
      <c r="D10" s="10" t="s">
        <v>58</v>
      </c>
      <c r="E10" s="10" t="s">
        <v>25</v>
      </c>
      <c r="F10" s="10" t="s">
        <v>10</v>
      </c>
      <c r="G10">
        <v>10000</v>
      </c>
      <c r="H10" s="10" t="s">
        <v>20</v>
      </c>
    </row>
    <row r="11" spans="2:8" x14ac:dyDescent="0.25">
      <c r="B11" s="10" t="s">
        <v>59</v>
      </c>
      <c r="C11" s="6">
        <v>46147</v>
      </c>
      <c r="D11" s="10" t="s">
        <v>8</v>
      </c>
      <c r="E11" s="10" t="s">
        <v>9</v>
      </c>
      <c r="F11" s="10" t="s">
        <v>26</v>
      </c>
      <c r="G11">
        <v>18000</v>
      </c>
      <c r="H11" s="10" t="s">
        <v>11</v>
      </c>
    </row>
    <row r="12" spans="2:8" x14ac:dyDescent="0.25">
      <c r="B12" s="10" t="s">
        <v>60</v>
      </c>
      <c r="C12" s="6">
        <v>46147</v>
      </c>
      <c r="D12" s="10" t="s">
        <v>61</v>
      </c>
      <c r="E12" s="10" t="s">
        <v>9</v>
      </c>
      <c r="F12" s="10" t="s">
        <v>22</v>
      </c>
      <c r="G12">
        <v>1000</v>
      </c>
      <c r="H12" s="10" t="s">
        <v>11</v>
      </c>
    </row>
    <row r="13" spans="2:8" x14ac:dyDescent="0.25">
      <c r="B13" s="10" t="s">
        <v>62</v>
      </c>
      <c r="C13" s="6">
        <v>46147</v>
      </c>
      <c r="D13" s="10" t="s">
        <v>8</v>
      </c>
      <c r="E13" s="10" t="s">
        <v>9</v>
      </c>
      <c r="F13" s="10" t="s">
        <v>26</v>
      </c>
      <c r="G13">
        <v>18000</v>
      </c>
      <c r="H13" s="10" t="s">
        <v>11</v>
      </c>
    </row>
    <row r="14" spans="2:8" x14ac:dyDescent="0.25">
      <c r="B14" s="10" t="s">
        <v>63</v>
      </c>
      <c r="C14" s="6">
        <v>46147</v>
      </c>
      <c r="D14" s="10" t="s">
        <v>64</v>
      </c>
      <c r="E14" s="10" t="s">
        <v>31</v>
      </c>
      <c r="F14" s="10" t="s">
        <v>15</v>
      </c>
      <c r="G14">
        <v>3000</v>
      </c>
      <c r="H14" s="10" t="s">
        <v>16</v>
      </c>
    </row>
    <row r="15" spans="2:8" x14ac:dyDescent="0.25">
      <c r="B15" s="10" t="s">
        <v>65</v>
      </c>
      <c r="C15" s="6">
        <v>46147</v>
      </c>
      <c r="D15" s="10" t="s">
        <v>8</v>
      </c>
      <c r="E15" s="10" t="s">
        <v>9</v>
      </c>
      <c r="F15" s="10" t="s">
        <v>10</v>
      </c>
      <c r="G15">
        <v>10000</v>
      </c>
      <c r="H15" s="10" t="s">
        <v>11</v>
      </c>
    </row>
    <row r="16" spans="2:8" x14ac:dyDescent="0.25">
      <c r="B16" s="10" t="s">
        <v>66</v>
      </c>
      <c r="C16" s="6">
        <v>46148</v>
      </c>
      <c r="D16" s="10" t="s">
        <v>67</v>
      </c>
      <c r="E16" s="10" t="s">
        <v>19</v>
      </c>
      <c r="F16" s="10" t="s">
        <v>26</v>
      </c>
      <c r="G16">
        <v>18000</v>
      </c>
      <c r="H16" s="10" t="s">
        <v>20</v>
      </c>
    </row>
    <row r="17" spans="2:8" x14ac:dyDescent="0.25">
      <c r="B17" s="10" t="s">
        <v>68</v>
      </c>
      <c r="C17" s="6">
        <v>46148</v>
      </c>
      <c r="D17" s="10" t="s">
        <v>8</v>
      </c>
      <c r="E17" s="10" t="s">
        <v>9</v>
      </c>
      <c r="F17" s="10" t="s">
        <v>26</v>
      </c>
      <c r="G17">
        <v>18000</v>
      </c>
      <c r="H17" s="10" t="s">
        <v>11</v>
      </c>
    </row>
    <row r="19" spans="2:8" ht="32.25" customHeight="1" x14ac:dyDescent="0.25">
      <c r="B19" s="50" t="s">
        <v>169</v>
      </c>
      <c r="C19" s="51"/>
      <c r="D19" s="51"/>
      <c r="E19" s="51"/>
      <c r="F19" s="51"/>
      <c r="G19" s="51"/>
      <c r="H19" s="51"/>
    </row>
    <row r="20" spans="2:8" ht="18.75" x14ac:dyDescent="0.25">
      <c r="B20" s="35"/>
      <c r="C20" s="34"/>
      <c r="D20" s="34"/>
      <c r="E20" s="34"/>
      <c r="F20" s="34"/>
      <c r="G20" s="34"/>
      <c r="H20" s="34"/>
    </row>
    <row r="21" spans="2:8" ht="18.75" customHeight="1" x14ac:dyDescent="0.25">
      <c r="B21" s="50" t="s">
        <v>182</v>
      </c>
      <c r="C21" s="50"/>
      <c r="D21" s="50"/>
      <c r="E21" s="50"/>
    </row>
    <row r="22" spans="2:8" ht="18.75" customHeight="1" x14ac:dyDescent="0.25">
      <c r="B22" s="35"/>
      <c r="C22" s="35"/>
      <c r="D22" s="35"/>
      <c r="E22" s="35"/>
    </row>
    <row r="23" spans="2:8" ht="18.75" x14ac:dyDescent="0.25">
      <c r="B23" s="50" t="s">
        <v>183</v>
      </c>
      <c r="C23" s="50"/>
      <c r="D23" s="36"/>
      <c r="E23" s="36"/>
      <c r="F23" s="36"/>
    </row>
    <row r="24" spans="2:8" ht="18.75" customHeight="1" x14ac:dyDescent="0.25">
      <c r="B24" s="8" t="s">
        <v>73</v>
      </c>
      <c r="C24" t="s">
        <v>71</v>
      </c>
    </row>
    <row r="25" spans="2:8" ht="18.75" customHeight="1" x14ac:dyDescent="0.25">
      <c r="B25" s="9" t="s">
        <v>8</v>
      </c>
      <c r="C25" s="10">
        <v>7</v>
      </c>
    </row>
    <row r="26" spans="2:8" ht="18.75" customHeight="1" x14ac:dyDescent="0.25">
      <c r="B26" s="9" t="s">
        <v>13</v>
      </c>
      <c r="C26" s="10">
        <v>2</v>
      </c>
    </row>
    <row r="27" spans="2:8" ht="18.75" customHeight="1" x14ac:dyDescent="0.25">
      <c r="B27" s="9" t="s">
        <v>52</v>
      </c>
      <c r="C27" s="10">
        <v>1</v>
      </c>
    </row>
    <row r="28" spans="2:8" ht="18.75" customHeight="1" x14ac:dyDescent="0.25">
      <c r="B28" s="9" t="s">
        <v>54</v>
      </c>
      <c r="C28" s="10">
        <v>1</v>
      </c>
    </row>
    <row r="29" spans="2:8" ht="18.75" customHeight="1" x14ac:dyDescent="0.25">
      <c r="B29" s="9" t="s">
        <v>58</v>
      </c>
      <c r="C29" s="10">
        <v>1</v>
      </c>
    </row>
    <row r="30" spans="2:8" ht="18.75" customHeight="1" x14ac:dyDescent="0.25">
      <c r="B30" s="9" t="s">
        <v>61</v>
      </c>
      <c r="C30" s="10">
        <v>1</v>
      </c>
    </row>
    <row r="31" spans="2:8" ht="18.75" customHeight="1" x14ac:dyDescent="0.25">
      <c r="B31" s="9" t="s">
        <v>64</v>
      </c>
      <c r="C31" s="10">
        <v>1</v>
      </c>
    </row>
    <row r="32" spans="2:8" ht="18.75" customHeight="1" x14ac:dyDescent="0.25">
      <c r="B32" s="9" t="s">
        <v>67</v>
      </c>
      <c r="C32" s="10">
        <v>1</v>
      </c>
    </row>
    <row r="33" spans="2:5" ht="18.75" customHeight="1" x14ac:dyDescent="0.25">
      <c r="B33" s="9" t="s">
        <v>40</v>
      </c>
      <c r="C33" s="10">
        <v>15</v>
      </c>
    </row>
    <row r="34" spans="2:5" ht="18.75" customHeight="1" x14ac:dyDescent="0.25">
      <c r="B34" s="9"/>
      <c r="C34" s="10"/>
    </row>
    <row r="35" spans="2:5" ht="18.75" customHeight="1" x14ac:dyDescent="0.25">
      <c r="B35" s="59" t="s">
        <v>201</v>
      </c>
      <c r="C35" s="10"/>
    </row>
    <row r="36" spans="2:5" ht="18.75" customHeight="1" x14ac:dyDescent="0.25">
      <c r="B36" s="59"/>
      <c r="C36" s="10"/>
    </row>
    <row r="37" spans="2:5" ht="18.75" customHeight="1" x14ac:dyDescent="0.25">
      <c r="B37" s="9"/>
      <c r="C37" s="10"/>
    </row>
    <row r="38" spans="2:5" ht="18.75" customHeight="1" x14ac:dyDescent="0.25">
      <c r="B38" s="50" t="s">
        <v>184</v>
      </c>
      <c r="C38" s="50"/>
      <c r="D38" s="50"/>
      <c r="E38" s="50"/>
    </row>
    <row r="39" spans="2:5" ht="18.75" customHeight="1" x14ac:dyDescent="0.25">
      <c r="B39" s="35"/>
      <c r="C39" s="35"/>
      <c r="D39" s="35"/>
      <c r="E39" s="35"/>
    </row>
    <row r="40" spans="2:5" ht="18.75" customHeight="1" x14ac:dyDescent="0.25">
      <c r="B40" s="50" t="s">
        <v>187</v>
      </c>
      <c r="C40" s="50"/>
      <c r="D40" s="35"/>
      <c r="E40" s="35"/>
    </row>
    <row r="41" spans="2:5" ht="18.75" customHeight="1" x14ac:dyDescent="0.25">
      <c r="B41" s="18" t="s">
        <v>74</v>
      </c>
      <c r="C41" s="11" t="s">
        <v>41</v>
      </c>
    </row>
    <row r="42" spans="2:5" ht="18.75" customHeight="1" x14ac:dyDescent="0.25">
      <c r="B42" s="9" t="s">
        <v>8</v>
      </c>
      <c r="C42" s="10">
        <v>110000</v>
      </c>
    </row>
    <row r="43" spans="2:5" ht="18.75" customHeight="1" x14ac:dyDescent="0.25">
      <c r="B43" s="9" t="s">
        <v>13</v>
      </c>
      <c r="C43" s="10">
        <v>6000</v>
      </c>
    </row>
    <row r="44" spans="2:5" ht="18.75" customHeight="1" x14ac:dyDescent="0.25">
      <c r="B44" s="9" t="s">
        <v>52</v>
      </c>
      <c r="C44" s="10">
        <v>1000</v>
      </c>
    </row>
    <row r="45" spans="2:5" ht="18.75" customHeight="1" x14ac:dyDescent="0.25">
      <c r="B45" s="9" t="s">
        <v>54</v>
      </c>
      <c r="C45" s="10">
        <v>18000</v>
      </c>
    </row>
    <row r="46" spans="2:5" ht="18.75" customHeight="1" x14ac:dyDescent="0.25">
      <c r="B46" s="9" t="s">
        <v>58</v>
      </c>
      <c r="C46" s="10">
        <v>10000</v>
      </c>
    </row>
    <row r="47" spans="2:5" ht="18.75" customHeight="1" x14ac:dyDescent="0.25">
      <c r="B47" s="9" t="s">
        <v>61</v>
      </c>
      <c r="C47" s="10">
        <v>1000</v>
      </c>
    </row>
    <row r="48" spans="2:5" ht="18.75" customHeight="1" x14ac:dyDescent="0.25">
      <c r="B48" s="9" t="s">
        <v>64</v>
      </c>
      <c r="C48" s="10">
        <v>3000</v>
      </c>
    </row>
    <row r="49" spans="2:7" ht="18.75" customHeight="1" x14ac:dyDescent="0.25">
      <c r="B49" s="9" t="s">
        <v>67</v>
      </c>
      <c r="C49" s="10">
        <v>18000</v>
      </c>
    </row>
    <row r="50" spans="2:7" ht="18.75" customHeight="1" x14ac:dyDescent="0.25">
      <c r="B50" s="9" t="s">
        <v>40</v>
      </c>
      <c r="C50" s="10">
        <v>167000</v>
      </c>
    </row>
    <row r="51" spans="2:7" ht="18.75" customHeight="1" x14ac:dyDescent="0.25">
      <c r="B51" s="9"/>
      <c r="C51" s="10"/>
    </row>
    <row r="52" spans="2:7" ht="18.75" customHeight="1" x14ac:dyDescent="0.25">
      <c r="B52" s="9" t="s">
        <v>202</v>
      </c>
    </row>
    <row r="53" spans="2:7" ht="18.75" customHeight="1" x14ac:dyDescent="0.25">
      <c r="B53" s="9"/>
    </row>
    <row r="54" spans="2:7" ht="18.75" customHeight="1" x14ac:dyDescent="0.25"/>
    <row r="55" spans="2:7" ht="18.75" customHeight="1" x14ac:dyDescent="0.25">
      <c r="B55" s="50" t="s">
        <v>186</v>
      </c>
      <c r="C55" s="50"/>
      <c r="D55" s="50"/>
      <c r="E55" s="50"/>
    </row>
    <row r="56" spans="2:7" ht="18.75" customHeight="1" x14ac:dyDescent="0.25">
      <c r="B56" s="35"/>
      <c r="C56" s="35"/>
      <c r="D56" s="35"/>
      <c r="E56" s="35"/>
    </row>
    <row r="57" spans="2:7" ht="18.75" customHeight="1" x14ac:dyDescent="0.25">
      <c r="B57" s="35" t="s">
        <v>185</v>
      </c>
      <c r="C57" s="35"/>
      <c r="D57" s="35"/>
      <c r="E57" s="35"/>
    </row>
    <row r="58" spans="2:7" ht="18.75" customHeight="1" x14ac:dyDescent="0.25">
      <c r="B58" s="8" t="s">
        <v>72</v>
      </c>
      <c r="C58" s="8" t="s">
        <v>42</v>
      </c>
      <c r="G58" s="43"/>
    </row>
    <row r="59" spans="2:7" ht="18.75" customHeight="1" x14ac:dyDescent="0.25">
      <c r="B59" s="18" t="s">
        <v>74</v>
      </c>
      <c r="C59" s="11" t="s">
        <v>20</v>
      </c>
      <c r="D59" s="11" t="s">
        <v>11</v>
      </c>
      <c r="E59" s="11" t="s">
        <v>16</v>
      </c>
      <c r="F59" s="11" t="s">
        <v>40</v>
      </c>
      <c r="G59" s="44" t="s">
        <v>191</v>
      </c>
    </row>
    <row r="60" spans="2:7" ht="18.75" customHeight="1" x14ac:dyDescent="0.25">
      <c r="B60" s="9" t="s">
        <v>8</v>
      </c>
      <c r="C60" s="10"/>
      <c r="D60" s="10">
        <v>7</v>
      </c>
      <c r="E60" s="10"/>
      <c r="F60" s="10">
        <v>7</v>
      </c>
      <c r="G60" s="10" t="str" cm="1">
        <f t="array" ref="G60">_xlfn.IFS(MAX(C60:E60)=C60,"Agent",MAX(C60:E60)=D60,"Mobile Money",MAX(C60:E60)=E60,"USSD")</f>
        <v>Mobile Money</v>
      </c>
    </row>
    <row r="61" spans="2:7" ht="18.75" customHeight="1" x14ac:dyDescent="0.25">
      <c r="B61" s="9" t="s">
        <v>13</v>
      </c>
      <c r="C61" s="10"/>
      <c r="D61" s="10"/>
      <c r="E61" s="10">
        <v>2</v>
      </c>
      <c r="F61" s="10">
        <v>2</v>
      </c>
      <c r="G61" s="10" t="str" cm="1">
        <f t="array" ref="G61">_xlfn.IFS(MAX(C61:E61)=C61,"Agent",MAX(C61:E61)=D61,"Mobile Money",MAX(C61:E61)=E61,"USSD")</f>
        <v>USSD</v>
      </c>
    </row>
    <row r="62" spans="2:7" ht="18.75" customHeight="1" x14ac:dyDescent="0.25">
      <c r="B62" s="9" t="s">
        <v>52</v>
      </c>
      <c r="C62" s="10">
        <v>1</v>
      </c>
      <c r="D62" s="10"/>
      <c r="E62" s="10"/>
      <c r="F62" s="10">
        <v>1</v>
      </c>
      <c r="G62" s="10" t="str" cm="1">
        <f t="array" ref="G62">_xlfn.IFS(MAX(C62:E62)=C62,"Agent",MAX(C62:E62)=D62,"Mobile Money",MAX(C62:E62)=E62,"USSD")</f>
        <v>Agent</v>
      </c>
    </row>
    <row r="63" spans="2:7" ht="18.75" customHeight="1" x14ac:dyDescent="0.25">
      <c r="B63" s="9" t="s">
        <v>54</v>
      </c>
      <c r="C63" s="10">
        <v>1</v>
      </c>
      <c r="D63" s="10"/>
      <c r="E63" s="10"/>
      <c r="F63" s="10">
        <v>1</v>
      </c>
      <c r="G63" s="10" t="str" cm="1">
        <f t="array" ref="G63">_xlfn.IFS(MAX(C63:E63)=C63,"Agent",MAX(C63:E63)=D63,"Mobile Money",MAX(C63:E63)=E63,"USSD")</f>
        <v>Agent</v>
      </c>
    </row>
    <row r="64" spans="2:7" ht="18.75" customHeight="1" x14ac:dyDescent="0.25">
      <c r="B64" s="9" t="s">
        <v>58</v>
      </c>
      <c r="C64" s="10">
        <v>1</v>
      </c>
      <c r="D64" s="10"/>
      <c r="E64" s="10"/>
      <c r="F64" s="10">
        <v>1</v>
      </c>
      <c r="G64" s="10" t="str" cm="1">
        <f t="array" ref="G64">_xlfn.IFS(MAX(C64:E64)=C64,"Agent",MAX(C64:E64)=D64,"Mobile Money",MAX(C64:E64)=E64,"USSD")</f>
        <v>Agent</v>
      </c>
    </row>
    <row r="65" spans="2:20" ht="18.75" customHeight="1" x14ac:dyDescent="0.25">
      <c r="B65" s="9" t="s">
        <v>61</v>
      </c>
      <c r="C65" s="10"/>
      <c r="D65" s="10">
        <v>1</v>
      </c>
      <c r="E65" s="10"/>
      <c r="F65" s="10">
        <v>1</v>
      </c>
      <c r="G65" s="10" t="str" cm="1">
        <f t="array" ref="G65">_xlfn.IFS(MAX(C65:E65)=C65,"Agent",MAX(C65:E65)=D65,"Mobile Money",MAX(C65:E65)=E65,"USSD")</f>
        <v>Mobile Money</v>
      </c>
    </row>
    <row r="66" spans="2:20" ht="18.75" customHeight="1" x14ac:dyDescent="0.25">
      <c r="B66" s="9" t="s">
        <v>64</v>
      </c>
      <c r="C66" s="10"/>
      <c r="D66" s="10"/>
      <c r="E66" s="10">
        <v>1</v>
      </c>
      <c r="F66" s="10">
        <v>1</v>
      </c>
      <c r="G66" s="10" t="str" cm="1">
        <f t="array" ref="G66">_xlfn.IFS(MAX(C66:E66)=C66,"Agent",MAX(C66:E66)=D66,"Mobile Money",MAX(C66:E66)=E66,"USSD")</f>
        <v>USSD</v>
      </c>
    </row>
    <row r="67" spans="2:20" ht="18.75" customHeight="1" x14ac:dyDescent="0.25">
      <c r="B67" s="9" t="s">
        <v>67</v>
      </c>
      <c r="C67" s="10">
        <v>1</v>
      </c>
      <c r="D67" s="10"/>
      <c r="E67" s="10"/>
      <c r="F67" s="10">
        <v>1</v>
      </c>
      <c r="G67" s="10" t="str" cm="1">
        <f t="array" ref="G67">_xlfn.IFS(MAX(C67:E67)=C67,"Agent",MAX(C67:E67)=D67,"Mobile Money",MAX(C67:E67)=E67,"USSD")</f>
        <v>Agent</v>
      </c>
    </row>
    <row r="68" spans="2:20" ht="18.75" customHeight="1" x14ac:dyDescent="0.25">
      <c r="B68" s="9" t="s">
        <v>40</v>
      </c>
      <c r="C68" s="10">
        <v>4</v>
      </c>
      <c r="E68" s="35"/>
      <c r="F68" s="35"/>
      <c r="G68" s="45"/>
    </row>
    <row r="69" spans="2:20" ht="18.75" customHeight="1" x14ac:dyDescent="0.25">
      <c r="B69" s="9"/>
      <c r="C69" s="10"/>
      <c r="E69" s="42"/>
      <c r="F69" s="42"/>
      <c r="G69" s="42"/>
    </row>
    <row r="70" spans="2:20" ht="18.75" customHeight="1" x14ac:dyDescent="0.25">
      <c r="B70" s="9" t="s">
        <v>203</v>
      </c>
      <c r="C70" s="10"/>
      <c r="E70" s="42"/>
      <c r="F70" s="42"/>
      <c r="G70" s="42"/>
    </row>
    <row r="71" spans="2:20" ht="18.75" customHeight="1" x14ac:dyDescent="0.25">
      <c r="B71" s="9"/>
      <c r="C71" s="10"/>
      <c r="E71" s="42"/>
      <c r="F71" s="42"/>
      <c r="G71" s="42"/>
    </row>
    <row r="72" spans="2:20" ht="18.75" customHeight="1" x14ac:dyDescent="0.25">
      <c r="B72" s="9"/>
      <c r="C72" s="42"/>
      <c r="D72" s="42"/>
      <c r="E72" s="42"/>
    </row>
    <row r="73" spans="2:20" ht="18.75" customHeight="1" x14ac:dyDescent="0.25">
      <c r="B73" s="50" t="s">
        <v>188</v>
      </c>
      <c r="C73" s="50"/>
      <c r="D73" s="50"/>
      <c r="E73" s="50"/>
    </row>
    <row r="74" spans="2:20" ht="18.75" customHeight="1" x14ac:dyDescent="0.25">
      <c r="B74" s="35"/>
      <c r="C74" s="35"/>
      <c r="D74" s="35"/>
      <c r="E74" s="35"/>
    </row>
    <row r="75" spans="2:20" ht="19.5" customHeight="1" x14ac:dyDescent="0.25">
      <c r="B75" s="50" t="s">
        <v>189</v>
      </c>
      <c r="C75" s="50"/>
      <c r="D75" s="50"/>
      <c r="E75" s="50"/>
      <c r="F75" s="50"/>
      <c r="G75" s="50"/>
    </row>
    <row r="76" spans="2:20" ht="18.75" x14ac:dyDescent="0.25">
      <c r="B76" s="50"/>
      <c r="C76" s="50"/>
      <c r="F76" s="9"/>
      <c r="G76" s="10"/>
      <c r="H76" s="10"/>
      <c r="I76" s="10"/>
      <c r="J76" s="10"/>
    </row>
    <row r="77" spans="2:20" x14ac:dyDescent="0.25">
      <c r="C77" s="20" t="s">
        <v>42</v>
      </c>
    </row>
    <row r="78" spans="2:20" ht="60.75" customHeight="1" x14ac:dyDescent="0.25">
      <c r="C78" s="22" t="s">
        <v>8</v>
      </c>
      <c r="D78" s="22"/>
      <c r="E78" s="19" t="s">
        <v>69</v>
      </c>
      <c r="F78" s="19" t="s">
        <v>70</v>
      </c>
    </row>
    <row r="79" spans="2:20" s="19" customFormat="1" ht="30" x14ac:dyDescent="0.25">
      <c r="B79" s="20" t="s">
        <v>38</v>
      </c>
      <c r="C79" s="19" t="s">
        <v>39</v>
      </c>
      <c r="D79" s="19" t="s">
        <v>41</v>
      </c>
      <c r="G79"/>
      <c r="H79"/>
      <c r="I79"/>
      <c r="J79"/>
      <c r="K79"/>
      <c r="L79"/>
      <c r="M79"/>
      <c r="N79"/>
      <c r="O79"/>
      <c r="P79"/>
      <c r="Q79"/>
      <c r="R79"/>
      <c r="S79"/>
      <c r="T79"/>
    </row>
    <row r="80" spans="2:20" x14ac:dyDescent="0.25">
      <c r="B80" s="17">
        <v>46146</v>
      </c>
      <c r="C80" s="21">
        <v>2</v>
      </c>
      <c r="D80" s="21">
        <v>28000</v>
      </c>
      <c r="E80" s="10">
        <v>2</v>
      </c>
      <c r="F80" s="10">
        <v>28000</v>
      </c>
    </row>
    <row r="81" spans="2:12" x14ac:dyDescent="0.25">
      <c r="B81" s="17">
        <v>46147</v>
      </c>
      <c r="C81" s="47">
        <v>4</v>
      </c>
      <c r="D81" s="47">
        <v>64000</v>
      </c>
      <c r="E81" s="10">
        <v>4</v>
      </c>
      <c r="F81" s="10">
        <v>64000</v>
      </c>
    </row>
    <row r="82" spans="2:12" x14ac:dyDescent="0.25">
      <c r="B82" s="17">
        <v>46148</v>
      </c>
      <c r="C82" s="10">
        <v>1</v>
      </c>
      <c r="D82" s="10">
        <v>18000</v>
      </c>
      <c r="E82" s="10">
        <v>1</v>
      </c>
      <c r="F82" s="10">
        <v>18000</v>
      </c>
    </row>
    <row r="83" spans="2:12" x14ac:dyDescent="0.25">
      <c r="B83" s="17" t="s">
        <v>40</v>
      </c>
      <c r="C83" s="46">
        <v>7</v>
      </c>
      <c r="D83" s="46">
        <v>110000</v>
      </c>
      <c r="E83" s="10">
        <v>7</v>
      </c>
      <c r="F83" s="10">
        <v>110000</v>
      </c>
    </row>
    <row r="84" spans="2:12" x14ac:dyDescent="0.25">
      <c r="B84" s="17"/>
      <c r="C84" s="10"/>
      <c r="D84" s="10"/>
      <c r="E84" s="10"/>
      <c r="F84" s="10"/>
      <c r="G84" s="10"/>
      <c r="H84" s="10"/>
      <c r="I84" s="10"/>
      <c r="J84" s="10"/>
      <c r="K84" s="10"/>
      <c r="L84" s="10"/>
    </row>
    <row r="85" spans="2:12" ht="18.75" x14ac:dyDescent="0.3">
      <c r="B85" s="54" t="s">
        <v>190</v>
      </c>
      <c r="C85" s="55"/>
    </row>
    <row r="92" spans="2:12" x14ac:dyDescent="0.25">
      <c r="B92" s="9" t="s">
        <v>204</v>
      </c>
    </row>
  </sheetData>
  <mergeCells count="10">
    <mergeCell ref="B38:E38"/>
    <mergeCell ref="B40:C40"/>
    <mergeCell ref="B19:H19"/>
    <mergeCell ref="B21:E21"/>
    <mergeCell ref="B23:C23"/>
    <mergeCell ref="B85:C85"/>
    <mergeCell ref="B73:E73"/>
    <mergeCell ref="B76:C76"/>
    <mergeCell ref="B75:G75"/>
    <mergeCell ref="B55:E55"/>
  </mergeCells>
  <conditionalFormatting pivot="1" sqref="C42:C49">
    <cfRule type="colorScale" priority="4">
      <colorScale>
        <cfvo type="min"/>
        <cfvo type="percentile" val="50"/>
        <cfvo type="max"/>
        <color rgb="FFF8696B"/>
        <color rgb="FFFFEB84"/>
        <color rgb="FF63BE7B"/>
      </colorScale>
    </cfRule>
  </conditionalFormatting>
  <conditionalFormatting pivot="1" sqref="C80:C81">
    <cfRule type="cellIs" dxfId="26" priority="3" operator="greaterThan">
      <formula>5</formula>
    </cfRule>
  </conditionalFormatting>
  <conditionalFormatting pivot="1" sqref="C80:C81">
    <cfRule type="cellIs" dxfId="25" priority="2" operator="greaterThan">
      <formula>5</formula>
    </cfRule>
  </conditionalFormatting>
  <conditionalFormatting pivot="1" sqref="C25:C32">
    <cfRule type="colorScale" priority="1">
      <colorScale>
        <cfvo type="min"/>
        <cfvo type="max"/>
        <color rgb="FFFCFCFF"/>
        <color rgb="FF63BE7B"/>
      </colorScale>
    </cfRule>
  </conditionalFormatting>
  <pageMargins left="0.7" right="0.7" top="0.75" bottom="0.75" header="0.3" footer="0.3"/>
  <pageSetup paperSize="9" orientation="portrait" r:id="rId5"/>
  <drawing r:id="rId6"/>
  <tableParts count="1">
    <tablePart r:id="rId7"/>
  </tableParts>
  <extLst>
    <ext xmlns:x14="http://schemas.microsoft.com/office/spreadsheetml/2009/9/main" uri="{A8765BA9-456A-4dab-B4F3-ACF838C121DE}">
      <x14:slicerList>
        <x14:slicer r:id="rId8"/>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224B5B-E13D-448C-A67F-DA6B2EEDCE5C}">
  <dimension ref="B1:P59"/>
  <sheetViews>
    <sheetView zoomScale="110" zoomScaleNormal="110" workbookViewId="0">
      <selection activeCell="B18" sqref="B18:E22"/>
    </sheetView>
  </sheetViews>
  <sheetFormatPr baseColWidth="10" defaultRowHeight="15" x14ac:dyDescent="0.25"/>
  <cols>
    <col min="1" max="1" width="4.85546875" customWidth="1"/>
    <col min="2" max="2" width="21.42578125" bestFit="1" customWidth="1"/>
    <col min="3" max="3" width="17.85546875" customWidth="1"/>
    <col min="4" max="4" width="11.28515625" customWidth="1"/>
    <col min="5" max="5" width="9.85546875" customWidth="1"/>
    <col min="6" max="6" width="11.42578125" customWidth="1"/>
    <col min="7" max="7" width="10.85546875" customWidth="1"/>
    <col min="8" max="8" width="12.5703125" bestFit="1" customWidth="1"/>
    <col min="10" max="10" width="12.7109375" bestFit="1" customWidth="1"/>
    <col min="11" max="12" width="11.140625" bestFit="1" customWidth="1"/>
    <col min="14" max="14" width="12.7109375" bestFit="1" customWidth="1"/>
    <col min="15" max="16" width="11.140625" bestFit="1" customWidth="1"/>
  </cols>
  <sheetData>
    <row r="1" spans="2:16" x14ac:dyDescent="0.25">
      <c r="B1" s="48" t="s">
        <v>192</v>
      </c>
      <c r="C1" s="48"/>
      <c r="D1" s="48"/>
      <c r="E1" s="48"/>
      <c r="F1" s="48"/>
      <c r="G1" s="48"/>
      <c r="H1" s="48"/>
    </row>
    <row r="2" spans="2:16" x14ac:dyDescent="0.25">
      <c r="B2" t="s">
        <v>0</v>
      </c>
      <c r="C2" t="s">
        <v>1</v>
      </c>
      <c r="D2" t="s">
        <v>75</v>
      </c>
      <c r="E2" t="s">
        <v>2</v>
      </c>
      <c r="F2" t="s">
        <v>3</v>
      </c>
      <c r="G2" t="s">
        <v>4</v>
      </c>
      <c r="H2" t="s">
        <v>5</v>
      </c>
      <c r="N2" s="48"/>
      <c r="O2" s="48"/>
      <c r="P2" s="48"/>
    </row>
    <row r="3" spans="2:16" x14ac:dyDescent="0.25">
      <c r="B3" s="10" t="s">
        <v>76</v>
      </c>
      <c r="C3" s="6">
        <v>46149</v>
      </c>
      <c r="D3" s="10" t="s">
        <v>77</v>
      </c>
      <c r="E3" s="10" t="s">
        <v>78</v>
      </c>
      <c r="F3" s="10" t="s">
        <v>9</v>
      </c>
      <c r="G3" s="10" t="s">
        <v>26</v>
      </c>
      <c r="H3">
        <v>18000</v>
      </c>
      <c r="M3" s="19"/>
    </row>
    <row r="4" spans="2:16" x14ac:dyDescent="0.25">
      <c r="B4" s="10" t="s">
        <v>79</v>
      </c>
      <c r="C4" s="6">
        <v>46149</v>
      </c>
      <c r="D4" s="10" t="s">
        <v>80</v>
      </c>
      <c r="E4" s="10" t="s">
        <v>81</v>
      </c>
      <c r="F4" s="10" t="s">
        <v>14</v>
      </c>
      <c r="G4" s="10" t="s">
        <v>15</v>
      </c>
      <c r="H4">
        <v>3000</v>
      </c>
    </row>
    <row r="5" spans="2:16" x14ac:dyDescent="0.25">
      <c r="B5" s="10" t="s">
        <v>82</v>
      </c>
      <c r="C5" s="6">
        <v>46149</v>
      </c>
      <c r="D5" s="10" t="s">
        <v>77</v>
      </c>
      <c r="E5" s="10" t="s">
        <v>83</v>
      </c>
      <c r="F5" s="10" t="s">
        <v>9</v>
      </c>
      <c r="G5" s="10" t="s">
        <v>10</v>
      </c>
      <c r="H5">
        <v>10000</v>
      </c>
    </row>
    <row r="6" spans="2:16" x14ac:dyDescent="0.25">
      <c r="B6" s="10" t="s">
        <v>84</v>
      </c>
      <c r="C6" s="6">
        <v>46149</v>
      </c>
      <c r="D6" s="10" t="s">
        <v>85</v>
      </c>
      <c r="E6" s="10" t="s">
        <v>86</v>
      </c>
      <c r="F6" s="10" t="s">
        <v>31</v>
      </c>
      <c r="G6" s="10" t="s">
        <v>22</v>
      </c>
      <c r="H6">
        <v>1000</v>
      </c>
    </row>
    <row r="7" spans="2:16" x14ac:dyDescent="0.25">
      <c r="B7" s="10" t="s">
        <v>87</v>
      </c>
      <c r="C7" s="6">
        <v>46149</v>
      </c>
      <c r="D7" s="10" t="s">
        <v>88</v>
      </c>
      <c r="E7" s="10" t="s">
        <v>89</v>
      </c>
      <c r="F7" s="10" t="s">
        <v>25</v>
      </c>
      <c r="G7" s="10" t="s">
        <v>26</v>
      </c>
      <c r="H7">
        <v>18000</v>
      </c>
    </row>
    <row r="8" spans="2:16" x14ac:dyDescent="0.25">
      <c r="B8" s="10" t="s">
        <v>90</v>
      </c>
      <c r="C8" s="6">
        <v>46150</v>
      </c>
      <c r="D8" s="10" t="s">
        <v>77</v>
      </c>
      <c r="E8" s="10" t="s">
        <v>91</v>
      </c>
      <c r="F8" s="10" t="s">
        <v>9</v>
      </c>
      <c r="G8" s="10" t="s">
        <v>26</v>
      </c>
      <c r="H8">
        <v>18000</v>
      </c>
    </row>
    <row r="9" spans="2:16" x14ac:dyDescent="0.25">
      <c r="B9" s="10" t="s">
        <v>92</v>
      </c>
      <c r="C9" s="6">
        <v>46150</v>
      </c>
      <c r="D9" s="10" t="s">
        <v>80</v>
      </c>
      <c r="E9" s="10" t="s">
        <v>93</v>
      </c>
      <c r="F9" s="10" t="s">
        <v>14</v>
      </c>
      <c r="G9" s="10" t="s">
        <v>15</v>
      </c>
      <c r="H9">
        <v>3000</v>
      </c>
    </row>
    <row r="10" spans="2:16" x14ac:dyDescent="0.25">
      <c r="B10" s="10" t="s">
        <v>94</v>
      </c>
      <c r="C10" s="6">
        <v>46150</v>
      </c>
      <c r="D10" s="10" t="s">
        <v>85</v>
      </c>
      <c r="E10" s="10" t="s">
        <v>95</v>
      </c>
      <c r="F10" s="10" t="s">
        <v>31</v>
      </c>
      <c r="G10" s="10" t="s">
        <v>22</v>
      </c>
      <c r="H10">
        <v>1000</v>
      </c>
    </row>
    <row r="11" spans="2:16" x14ac:dyDescent="0.25">
      <c r="B11" s="10" t="s">
        <v>96</v>
      </c>
      <c r="C11" s="6">
        <v>46150</v>
      </c>
      <c r="D11" s="10" t="s">
        <v>77</v>
      </c>
      <c r="E11" s="10" t="s">
        <v>97</v>
      </c>
      <c r="F11" s="10" t="s">
        <v>9</v>
      </c>
      <c r="G11" s="10" t="s">
        <v>26</v>
      </c>
      <c r="H11">
        <v>18000</v>
      </c>
    </row>
    <row r="12" spans="2:16" x14ac:dyDescent="0.25">
      <c r="B12" s="10" t="s">
        <v>98</v>
      </c>
      <c r="C12" s="6">
        <v>46150</v>
      </c>
      <c r="D12" s="10" t="s">
        <v>99</v>
      </c>
      <c r="E12" s="10" t="s">
        <v>100</v>
      </c>
      <c r="F12" s="10" t="s">
        <v>19</v>
      </c>
      <c r="G12" s="10" t="s">
        <v>10</v>
      </c>
      <c r="H12">
        <v>10000</v>
      </c>
    </row>
    <row r="13" spans="2:16" x14ac:dyDescent="0.25">
      <c r="B13" s="10" t="s">
        <v>101</v>
      </c>
      <c r="C13" s="6">
        <v>46151</v>
      </c>
      <c r="D13" s="10" t="s">
        <v>77</v>
      </c>
      <c r="E13" s="10" t="s">
        <v>102</v>
      </c>
      <c r="F13" s="10" t="s">
        <v>9</v>
      </c>
      <c r="G13" s="10" t="s">
        <v>26</v>
      </c>
      <c r="H13">
        <v>18000</v>
      </c>
    </row>
    <row r="14" spans="2:16" x14ac:dyDescent="0.25">
      <c r="B14" s="10" t="s">
        <v>103</v>
      </c>
      <c r="C14" s="6">
        <v>46151</v>
      </c>
      <c r="D14" s="10" t="s">
        <v>80</v>
      </c>
      <c r="E14" s="10" t="s">
        <v>104</v>
      </c>
      <c r="F14" s="10" t="s">
        <v>14</v>
      </c>
      <c r="G14" s="10" t="s">
        <v>15</v>
      </c>
      <c r="H14">
        <v>3000</v>
      </c>
    </row>
    <row r="15" spans="2:16" x14ac:dyDescent="0.25">
      <c r="B15" s="10" t="s">
        <v>105</v>
      </c>
      <c r="C15" s="6">
        <v>46151</v>
      </c>
      <c r="D15" s="10" t="s">
        <v>85</v>
      </c>
      <c r="E15" s="10" t="s">
        <v>106</v>
      </c>
      <c r="F15" s="10" t="s">
        <v>31</v>
      </c>
      <c r="G15" s="10" t="s">
        <v>22</v>
      </c>
      <c r="H15">
        <v>1000</v>
      </c>
    </row>
    <row r="16" spans="2:16" x14ac:dyDescent="0.25">
      <c r="B16" s="10" t="s">
        <v>107</v>
      </c>
      <c r="C16" s="6">
        <v>46151</v>
      </c>
      <c r="D16" s="10" t="s">
        <v>88</v>
      </c>
      <c r="E16" s="10" t="s">
        <v>108</v>
      </c>
      <c r="F16" s="10" t="s">
        <v>25</v>
      </c>
      <c r="G16" s="10" t="s">
        <v>26</v>
      </c>
      <c r="H16">
        <v>18000</v>
      </c>
    </row>
    <row r="17" spans="2:8" x14ac:dyDescent="0.25">
      <c r="B17" s="10" t="s">
        <v>109</v>
      </c>
      <c r="C17" s="6">
        <v>46151</v>
      </c>
      <c r="D17" s="10" t="s">
        <v>99</v>
      </c>
      <c r="E17" s="10" t="s">
        <v>110</v>
      </c>
      <c r="F17" s="10" t="s">
        <v>19</v>
      </c>
      <c r="G17" s="10" t="s">
        <v>10</v>
      </c>
      <c r="H17">
        <v>10000</v>
      </c>
    </row>
    <row r="20" spans="2:8" s="19" customFormat="1" ht="18.75" x14ac:dyDescent="0.25">
      <c r="B20" s="57" t="s">
        <v>193</v>
      </c>
      <c r="C20" s="57"/>
      <c r="D20" s="57"/>
      <c r="E20" s="57"/>
    </row>
    <row r="22" spans="2:8" x14ac:dyDescent="0.25">
      <c r="B22" s="48" t="s">
        <v>209</v>
      </c>
      <c r="C22" s="48"/>
      <c r="D22" s="48"/>
    </row>
    <row r="23" spans="2:8" ht="30" x14ac:dyDescent="0.25">
      <c r="B23" s="20" t="s">
        <v>38</v>
      </c>
      <c r="C23" s="19" t="s">
        <v>39</v>
      </c>
      <c r="D23" s="19" t="s">
        <v>41</v>
      </c>
    </row>
    <row r="24" spans="2:8" x14ac:dyDescent="0.25">
      <c r="B24" s="10" t="s">
        <v>77</v>
      </c>
      <c r="C24" s="10">
        <v>5</v>
      </c>
      <c r="D24" s="10">
        <v>82000</v>
      </c>
    </row>
    <row r="25" spans="2:8" x14ac:dyDescent="0.25">
      <c r="B25" s="10" t="s">
        <v>88</v>
      </c>
      <c r="C25" s="10">
        <v>2</v>
      </c>
      <c r="D25" s="10">
        <v>36000</v>
      </c>
    </row>
    <row r="26" spans="2:8" x14ac:dyDescent="0.25">
      <c r="B26" s="10" t="s">
        <v>99</v>
      </c>
      <c r="C26" s="10">
        <v>2</v>
      </c>
      <c r="D26" s="10">
        <v>20000</v>
      </c>
    </row>
    <row r="27" spans="2:8" x14ac:dyDescent="0.25">
      <c r="B27" s="10" t="s">
        <v>80</v>
      </c>
      <c r="C27" s="10">
        <v>3</v>
      </c>
      <c r="D27" s="10">
        <v>9000</v>
      </c>
    </row>
    <row r="28" spans="2:8" x14ac:dyDescent="0.25">
      <c r="B28" s="10" t="s">
        <v>85</v>
      </c>
      <c r="C28" s="10">
        <v>3</v>
      </c>
      <c r="D28" s="10">
        <v>3000</v>
      </c>
    </row>
    <row r="29" spans="2:8" x14ac:dyDescent="0.25">
      <c r="B29" s="9" t="s">
        <v>40</v>
      </c>
      <c r="C29" s="10">
        <v>15</v>
      </c>
      <c r="D29" s="10">
        <v>150000</v>
      </c>
    </row>
    <row r="30" spans="2:8" x14ac:dyDescent="0.25">
      <c r="B30" s="9"/>
      <c r="C30" s="10"/>
      <c r="D30" s="10"/>
    </row>
    <row r="31" spans="2:8" x14ac:dyDescent="0.25">
      <c r="B31" s="10" t="s">
        <v>198</v>
      </c>
    </row>
    <row r="33" spans="2:8" ht="18.75" customHeight="1" x14ac:dyDescent="0.25">
      <c r="B33" s="57" t="s">
        <v>194</v>
      </c>
      <c r="C33" s="57"/>
      <c r="D33" s="57"/>
      <c r="E33" s="57"/>
    </row>
    <row r="35" spans="2:8" x14ac:dyDescent="0.25">
      <c r="B35" s="48" t="s">
        <v>195</v>
      </c>
      <c r="C35" s="48"/>
      <c r="D35" s="48"/>
    </row>
    <row r="36" spans="2:8" ht="30" x14ac:dyDescent="0.25">
      <c r="B36" s="20" t="s">
        <v>38</v>
      </c>
      <c r="C36" s="20" t="s">
        <v>39</v>
      </c>
      <c r="D36" s="19" t="s">
        <v>41</v>
      </c>
    </row>
    <row r="37" spans="2:8" x14ac:dyDescent="0.25">
      <c r="B37" s="9" t="s">
        <v>9</v>
      </c>
      <c r="C37" s="10">
        <v>5</v>
      </c>
      <c r="D37" s="10">
        <v>82000</v>
      </c>
    </row>
    <row r="38" spans="2:8" x14ac:dyDescent="0.25">
      <c r="B38" s="9" t="s">
        <v>25</v>
      </c>
      <c r="C38" s="10">
        <v>2</v>
      </c>
      <c r="D38" s="10">
        <v>36000</v>
      </c>
    </row>
    <row r="39" spans="2:8" x14ac:dyDescent="0.25">
      <c r="B39" s="9" t="s">
        <v>19</v>
      </c>
      <c r="C39" s="10">
        <v>2</v>
      </c>
      <c r="D39" s="10">
        <v>20000</v>
      </c>
    </row>
    <row r="40" spans="2:8" x14ac:dyDescent="0.25">
      <c r="B40" s="9" t="s">
        <v>14</v>
      </c>
      <c r="C40" s="10">
        <v>3</v>
      </c>
      <c r="D40" s="10">
        <v>9000</v>
      </c>
    </row>
    <row r="41" spans="2:8" x14ac:dyDescent="0.25">
      <c r="B41" s="9" t="s">
        <v>31</v>
      </c>
      <c r="C41" s="10">
        <v>3</v>
      </c>
      <c r="D41" s="10">
        <v>3000</v>
      </c>
    </row>
    <row r="42" spans="2:8" x14ac:dyDescent="0.25">
      <c r="B42" s="9" t="s">
        <v>40</v>
      </c>
      <c r="C42" s="10">
        <v>15</v>
      </c>
      <c r="D42" s="10">
        <v>150000</v>
      </c>
    </row>
    <row r="43" spans="2:8" x14ac:dyDescent="0.25">
      <c r="B43" s="9"/>
      <c r="C43" s="10"/>
      <c r="D43" s="10"/>
    </row>
    <row r="44" spans="2:8" x14ac:dyDescent="0.25">
      <c r="B44" s="10" t="s">
        <v>199</v>
      </c>
    </row>
    <row r="46" spans="2:8" ht="18.75" customHeight="1" x14ac:dyDescent="0.25">
      <c r="B46" s="57" t="s">
        <v>196</v>
      </c>
      <c r="C46" s="57"/>
      <c r="D46" s="57"/>
      <c r="E46" s="57"/>
    </row>
    <row r="47" spans="2:8" ht="18.75" x14ac:dyDescent="0.25">
      <c r="B47" s="42"/>
      <c r="C47" s="42"/>
      <c r="D47" s="42"/>
      <c r="E47" s="42"/>
    </row>
    <row r="48" spans="2:8" x14ac:dyDescent="0.25">
      <c r="B48" s="48" t="s">
        <v>197</v>
      </c>
      <c r="C48" s="49"/>
      <c r="D48" s="49"/>
      <c r="E48" s="49"/>
      <c r="F48" s="49"/>
      <c r="G48" s="49"/>
      <c r="H48" s="49"/>
    </row>
    <row r="49" spans="2:8" x14ac:dyDescent="0.25">
      <c r="B49" s="8" t="s">
        <v>41</v>
      </c>
      <c r="C49" s="8" t="s">
        <v>42</v>
      </c>
    </row>
    <row r="50" spans="2:8" x14ac:dyDescent="0.25">
      <c r="B50" s="8" t="s">
        <v>38</v>
      </c>
      <c r="C50" t="s">
        <v>9</v>
      </c>
      <c r="D50" t="s">
        <v>14</v>
      </c>
      <c r="E50" t="s">
        <v>31</v>
      </c>
      <c r="F50" t="s">
        <v>19</v>
      </c>
      <c r="G50" t="s">
        <v>25</v>
      </c>
      <c r="H50" t="s">
        <v>40</v>
      </c>
    </row>
    <row r="51" spans="2:8" x14ac:dyDescent="0.25">
      <c r="B51" s="9" t="s">
        <v>26</v>
      </c>
      <c r="C51" s="10">
        <v>72000</v>
      </c>
      <c r="D51" s="10"/>
      <c r="E51" s="10"/>
      <c r="F51" s="10"/>
      <c r="G51" s="10">
        <v>36000</v>
      </c>
      <c r="H51" s="10">
        <v>108000</v>
      </c>
    </row>
    <row r="52" spans="2:8" x14ac:dyDescent="0.25">
      <c r="B52" s="9" t="s">
        <v>10</v>
      </c>
      <c r="C52" s="10">
        <v>10000</v>
      </c>
      <c r="D52" s="10"/>
      <c r="E52" s="10"/>
      <c r="F52" s="10">
        <v>20000</v>
      </c>
      <c r="G52" s="10"/>
      <c r="H52" s="10">
        <v>30000</v>
      </c>
    </row>
    <row r="53" spans="2:8" x14ac:dyDescent="0.25">
      <c r="B53" s="9" t="s">
        <v>22</v>
      </c>
      <c r="C53" s="10"/>
      <c r="D53" s="10"/>
      <c r="E53" s="10">
        <v>3000</v>
      </c>
      <c r="F53" s="10"/>
      <c r="G53" s="10"/>
      <c r="H53" s="10">
        <v>3000</v>
      </c>
    </row>
    <row r="54" spans="2:8" x14ac:dyDescent="0.25">
      <c r="B54" s="9" t="s">
        <v>15</v>
      </c>
      <c r="C54" s="10"/>
      <c r="D54" s="10">
        <v>9000</v>
      </c>
      <c r="E54" s="10"/>
      <c r="F54" s="10"/>
      <c r="G54" s="10"/>
      <c r="H54" s="10">
        <v>9000</v>
      </c>
    </row>
    <row r="55" spans="2:8" x14ac:dyDescent="0.25">
      <c r="B55" s="9" t="s">
        <v>40</v>
      </c>
      <c r="C55" s="10">
        <v>82000</v>
      </c>
      <c r="D55" s="10">
        <v>9000</v>
      </c>
      <c r="E55" s="10">
        <v>3000</v>
      </c>
      <c r="F55" s="10">
        <v>20000</v>
      </c>
      <c r="G55" s="10">
        <v>36000</v>
      </c>
      <c r="H55" s="10">
        <v>150000</v>
      </c>
    </row>
    <row r="57" spans="2:8" x14ac:dyDescent="0.25">
      <c r="B57" s="58" t="s">
        <v>200</v>
      </c>
      <c r="C57" s="58"/>
      <c r="D57" s="58"/>
      <c r="E57" s="58"/>
      <c r="F57" s="58"/>
      <c r="G57" s="58"/>
      <c r="H57" s="58"/>
    </row>
    <row r="58" spans="2:8" x14ac:dyDescent="0.25">
      <c r="B58" s="58"/>
      <c r="C58" s="58"/>
      <c r="D58" s="58"/>
      <c r="E58" s="58"/>
      <c r="F58" s="58"/>
      <c r="G58" s="58"/>
      <c r="H58" s="58"/>
    </row>
    <row r="59" spans="2:8" x14ac:dyDescent="0.25">
      <c r="B59" s="58"/>
      <c r="C59" s="58"/>
      <c r="D59" s="58"/>
      <c r="E59" s="58"/>
      <c r="F59" s="58"/>
      <c r="G59" s="58"/>
      <c r="H59" s="58"/>
    </row>
  </sheetData>
  <mergeCells count="9">
    <mergeCell ref="B35:D35"/>
    <mergeCell ref="B46:E46"/>
    <mergeCell ref="B48:H48"/>
    <mergeCell ref="B57:H59"/>
    <mergeCell ref="B22:D22"/>
    <mergeCell ref="N2:P2"/>
    <mergeCell ref="B1:H1"/>
    <mergeCell ref="B20:E20"/>
    <mergeCell ref="B33:E33"/>
  </mergeCells>
  <conditionalFormatting pivot="1" sqref="D24:D28">
    <cfRule type="cellIs" dxfId="24" priority="11" operator="lessThan">
      <formula>10000</formula>
    </cfRule>
  </conditionalFormatting>
  <conditionalFormatting pivot="1" sqref="D24:D28">
    <cfRule type="colorScale" priority="6">
      <colorScale>
        <cfvo type="min"/>
        <cfvo type="percentile" val="50"/>
        <cfvo type="max"/>
        <color rgb="FFF8696B"/>
        <color rgb="FFFFEB84"/>
        <color rgb="FF63BE7B"/>
      </colorScale>
    </cfRule>
  </conditionalFormatting>
  <conditionalFormatting sqref="B24:B28">
    <cfRule type="cellIs" dxfId="21" priority="5" operator="lessThan">
      <formula>10000</formula>
    </cfRule>
  </conditionalFormatting>
  <conditionalFormatting sqref="B24:B28">
    <cfRule type="colorScale" priority="4">
      <colorScale>
        <cfvo type="min"/>
        <cfvo type="percentile" val="50"/>
        <cfvo type="max"/>
        <color rgb="FFF8696B"/>
        <color rgb="FFFFEB84"/>
        <color rgb="FF63BE7B"/>
      </colorScale>
    </cfRule>
  </conditionalFormatting>
  <conditionalFormatting pivot="1" sqref="D37:D41">
    <cfRule type="cellIs" dxfId="20" priority="3" operator="lessThan">
      <formula>$Q$4</formula>
    </cfRule>
  </conditionalFormatting>
  <conditionalFormatting pivot="1" sqref="D37:D42">
    <cfRule type="cellIs" dxfId="19" priority="2" operator="lessThan">
      <formula>30000</formula>
    </cfRule>
  </conditionalFormatting>
  <conditionalFormatting pivot="1" sqref="D37:D41">
    <cfRule type="colorScale" priority="1">
      <colorScale>
        <cfvo type="min"/>
        <cfvo type="percentile" val="50"/>
        <cfvo type="max"/>
        <color rgb="FFF8696B"/>
        <color rgb="FFFFEB84"/>
        <color rgb="FF63BE7B"/>
      </colorScale>
    </cfRule>
  </conditionalFormatting>
  <pageMargins left="0.7" right="0.7" top="0.75" bottom="0.75" header="0.3" footer="0.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601EC8-C861-4E54-B5F8-83B9BDC7AB04}">
  <dimension ref="B1:AA72"/>
  <sheetViews>
    <sheetView tabSelected="1" topLeftCell="A51" workbookViewId="0">
      <selection activeCell="F53" sqref="F53"/>
    </sheetView>
  </sheetViews>
  <sheetFormatPr baseColWidth="10" defaultRowHeight="15" x14ac:dyDescent="0.25"/>
  <cols>
    <col min="1" max="1" width="3.7109375" customWidth="1"/>
    <col min="2" max="2" width="15.5703125" customWidth="1"/>
    <col min="3" max="3" width="14.140625" customWidth="1"/>
    <col min="4" max="4" width="11.85546875" customWidth="1"/>
    <col min="5" max="5" width="18.5703125" customWidth="1"/>
    <col min="6" max="6" width="14.42578125" customWidth="1"/>
    <col min="7" max="7" width="13.42578125" bestFit="1" customWidth="1"/>
    <col min="8" max="8" width="14.42578125" customWidth="1"/>
    <col min="9" max="9" width="21.42578125" bestFit="1" customWidth="1"/>
    <col min="10" max="10" width="13.140625" customWidth="1"/>
    <col min="11" max="11" width="5" bestFit="1" customWidth="1"/>
    <col min="12" max="13" width="6" bestFit="1" customWidth="1"/>
    <col min="14" max="14" width="5" bestFit="1" customWidth="1"/>
    <col min="15" max="16" width="6" bestFit="1" customWidth="1"/>
    <col min="17" max="18" width="5" bestFit="1" customWidth="1"/>
    <col min="19" max="20" width="6" bestFit="1" customWidth="1"/>
    <col min="21" max="21" width="5" bestFit="1" customWidth="1"/>
    <col min="22" max="23" width="6" bestFit="1" customWidth="1"/>
    <col min="24" max="24" width="5" bestFit="1" customWidth="1"/>
    <col min="25" max="25" width="7.7109375" bestFit="1" customWidth="1"/>
    <col min="26" max="26" width="1" customWidth="1"/>
    <col min="27" max="27" width="15.42578125" customWidth="1"/>
    <col min="28" max="28" width="10.85546875" bestFit="1" customWidth="1"/>
    <col min="29" max="29" width="7.7109375" bestFit="1" customWidth="1"/>
  </cols>
  <sheetData>
    <row r="1" spans="2:27" x14ac:dyDescent="0.25">
      <c r="B1" s="48" t="s">
        <v>192</v>
      </c>
      <c r="C1" s="48"/>
      <c r="D1" s="48"/>
      <c r="E1" s="48"/>
      <c r="F1" s="48"/>
      <c r="G1" s="48"/>
    </row>
    <row r="2" spans="2:27" x14ac:dyDescent="0.25">
      <c r="B2" t="s">
        <v>0</v>
      </c>
      <c r="C2" t="s">
        <v>1</v>
      </c>
      <c r="D2" t="s">
        <v>2</v>
      </c>
      <c r="E2" t="s">
        <v>3</v>
      </c>
      <c r="F2" t="s">
        <v>4</v>
      </c>
      <c r="G2" t="s">
        <v>5</v>
      </c>
      <c r="I2" s="8" t="s">
        <v>41</v>
      </c>
      <c r="J2" s="8" t="s">
        <v>42</v>
      </c>
    </row>
    <row r="3" spans="2:27" ht="30" customHeight="1" x14ac:dyDescent="0.25">
      <c r="B3" s="10" t="s">
        <v>111</v>
      </c>
      <c r="C3" s="6">
        <v>46152</v>
      </c>
      <c r="D3" s="10" t="s">
        <v>112</v>
      </c>
      <c r="E3" s="10" t="s">
        <v>9</v>
      </c>
      <c r="F3" s="10" t="s">
        <v>26</v>
      </c>
      <c r="G3">
        <v>18000</v>
      </c>
      <c r="I3" s="20" t="s">
        <v>38</v>
      </c>
      <c r="J3" t="s">
        <v>111</v>
      </c>
      <c r="K3" t="s">
        <v>113</v>
      </c>
      <c r="L3" t="s">
        <v>115</v>
      </c>
      <c r="M3" t="s">
        <v>117</v>
      </c>
      <c r="N3" t="s">
        <v>118</v>
      </c>
      <c r="O3" t="s">
        <v>120</v>
      </c>
      <c r="P3" t="s">
        <v>122</v>
      </c>
      <c r="Q3" t="s">
        <v>123</v>
      </c>
      <c r="R3" t="s">
        <v>124</v>
      </c>
      <c r="S3" t="s">
        <v>126</v>
      </c>
      <c r="T3" t="s">
        <v>127</v>
      </c>
      <c r="U3" t="s">
        <v>128</v>
      </c>
      <c r="V3" t="s">
        <v>130</v>
      </c>
      <c r="W3" t="s">
        <v>131</v>
      </c>
      <c r="X3" t="s">
        <v>133</v>
      </c>
      <c r="Y3" s="19" t="s">
        <v>40</v>
      </c>
      <c r="AA3" s="25" t="s">
        <v>134</v>
      </c>
    </row>
    <row r="4" spans="2:27" x14ac:dyDescent="0.25">
      <c r="B4" s="10" t="s">
        <v>113</v>
      </c>
      <c r="C4" s="6">
        <v>46152</v>
      </c>
      <c r="D4" s="10" t="s">
        <v>114</v>
      </c>
      <c r="E4" s="10" t="s">
        <v>14</v>
      </c>
      <c r="F4" s="10" t="s">
        <v>15</v>
      </c>
      <c r="G4">
        <v>3000</v>
      </c>
      <c r="I4" s="9" t="s">
        <v>112</v>
      </c>
      <c r="J4" s="10">
        <v>18000</v>
      </c>
      <c r="K4" s="10"/>
      <c r="L4" s="10"/>
      <c r="M4" s="10">
        <v>18000</v>
      </c>
      <c r="N4" s="10"/>
      <c r="O4" s="10"/>
      <c r="P4" s="10">
        <v>10000</v>
      </c>
      <c r="Q4" s="10"/>
      <c r="R4" s="10"/>
      <c r="S4" s="10">
        <v>18000</v>
      </c>
      <c r="T4" s="10"/>
      <c r="U4" s="10"/>
      <c r="V4" s="10">
        <v>18000</v>
      </c>
      <c r="W4" s="10"/>
      <c r="X4" s="10"/>
      <c r="Y4" s="10">
        <v>82000</v>
      </c>
      <c r="AA4">
        <f t="shared" ref="AA4:AA11" si="0">AVERAGE(J4:X4)</f>
        <v>16400</v>
      </c>
    </row>
    <row r="5" spans="2:27" x14ac:dyDescent="0.25">
      <c r="B5" s="10" t="s">
        <v>115</v>
      </c>
      <c r="C5" s="6">
        <v>46152</v>
      </c>
      <c r="D5" s="10" t="s">
        <v>116</v>
      </c>
      <c r="E5" s="10" t="s">
        <v>19</v>
      </c>
      <c r="F5" s="10" t="s">
        <v>10</v>
      </c>
      <c r="G5">
        <v>10000</v>
      </c>
      <c r="I5" s="9" t="s">
        <v>114</v>
      </c>
      <c r="J5" s="10"/>
      <c r="K5" s="10">
        <v>3000</v>
      </c>
      <c r="L5" s="10"/>
      <c r="M5" s="10"/>
      <c r="N5" s="10"/>
      <c r="O5" s="10"/>
      <c r="P5" s="10"/>
      <c r="Q5" s="10">
        <v>3000</v>
      </c>
      <c r="R5" s="10"/>
      <c r="S5" s="10"/>
      <c r="T5" s="10"/>
      <c r="U5" s="10"/>
      <c r="V5" s="10"/>
      <c r="W5" s="10"/>
      <c r="X5" s="10">
        <v>3000</v>
      </c>
      <c r="Y5" s="10">
        <v>9000</v>
      </c>
      <c r="AA5">
        <f t="shared" si="0"/>
        <v>3000</v>
      </c>
    </row>
    <row r="6" spans="2:27" x14ac:dyDescent="0.25">
      <c r="B6" s="10" t="s">
        <v>117</v>
      </c>
      <c r="C6" s="6">
        <v>46153</v>
      </c>
      <c r="D6" s="10" t="s">
        <v>112</v>
      </c>
      <c r="E6" s="10" t="s">
        <v>9</v>
      </c>
      <c r="F6" s="10" t="s">
        <v>26</v>
      </c>
      <c r="G6">
        <v>18000</v>
      </c>
      <c r="I6" s="9" t="s">
        <v>116</v>
      </c>
      <c r="J6" s="10"/>
      <c r="K6" s="10"/>
      <c r="L6" s="10">
        <v>10000</v>
      </c>
      <c r="M6" s="10"/>
      <c r="N6" s="10"/>
      <c r="O6" s="10"/>
      <c r="P6" s="10"/>
      <c r="Q6" s="10"/>
      <c r="R6" s="10"/>
      <c r="S6" s="10"/>
      <c r="T6" s="10">
        <v>10000</v>
      </c>
      <c r="U6" s="10"/>
      <c r="V6" s="10"/>
      <c r="W6" s="10"/>
      <c r="X6" s="10"/>
      <c r="Y6" s="10">
        <v>20000</v>
      </c>
      <c r="AA6">
        <f t="shared" si="0"/>
        <v>10000</v>
      </c>
    </row>
    <row r="7" spans="2:27" x14ac:dyDescent="0.25">
      <c r="B7" s="10" t="s">
        <v>118</v>
      </c>
      <c r="C7" s="6">
        <v>46153</v>
      </c>
      <c r="D7" s="10" t="s">
        <v>119</v>
      </c>
      <c r="E7" s="10" t="s">
        <v>31</v>
      </c>
      <c r="F7" s="10" t="s">
        <v>22</v>
      </c>
      <c r="G7">
        <v>1000</v>
      </c>
      <c r="I7" s="9" t="s">
        <v>119</v>
      </c>
      <c r="J7" s="10"/>
      <c r="K7" s="10"/>
      <c r="L7" s="10"/>
      <c r="M7" s="10"/>
      <c r="N7" s="10">
        <v>1000</v>
      </c>
      <c r="O7" s="10"/>
      <c r="P7" s="10"/>
      <c r="Q7" s="10"/>
      <c r="R7" s="10"/>
      <c r="S7" s="10"/>
      <c r="T7" s="10"/>
      <c r="U7" s="10"/>
      <c r="V7" s="10"/>
      <c r="W7" s="10"/>
      <c r="X7" s="10"/>
      <c r="Y7" s="10">
        <v>1000</v>
      </c>
      <c r="AA7">
        <f t="shared" si="0"/>
        <v>1000</v>
      </c>
    </row>
    <row r="8" spans="2:27" x14ac:dyDescent="0.25">
      <c r="B8" s="10" t="s">
        <v>120</v>
      </c>
      <c r="C8" s="6">
        <v>46153</v>
      </c>
      <c r="D8" s="10" t="s">
        <v>121</v>
      </c>
      <c r="E8" s="10" t="s">
        <v>25</v>
      </c>
      <c r="F8" s="10" t="s">
        <v>26</v>
      </c>
      <c r="G8">
        <v>18000</v>
      </c>
      <c r="I8" s="9" t="s">
        <v>121</v>
      </c>
      <c r="J8" s="10"/>
      <c r="K8" s="10"/>
      <c r="L8" s="10"/>
      <c r="M8" s="10"/>
      <c r="N8" s="10"/>
      <c r="O8" s="10">
        <v>18000</v>
      </c>
      <c r="P8" s="10"/>
      <c r="Q8" s="10"/>
      <c r="R8" s="10"/>
      <c r="S8" s="10"/>
      <c r="T8" s="10"/>
      <c r="U8" s="10"/>
      <c r="V8" s="10"/>
      <c r="W8" s="10"/>
      <c r="X8" s="10"/>
      <c r="Y8" s="10">
        <v>18000</v>
      </c>
      <c r="AA8">
        <f t="shared" si="0"/>
        <v>18000</v>
      </c>
    </row>
    <row r="9" spans="2:27" x14ac:dyDescent="0.25">
      <c r="B9" s="10" t="s">
        <v>122</v>
      </c>
      <c r="C9" s="6">
        <v>46154</v>
      </c>
      <c r="D9" s="10" t="s">
        <v>112</v>
      </c>
      <c r="E9" s="10" t="s">
        <v>9</v>
      </c>
      <c r="F9" s="10" t="s">
        <v>10</v>
      </c>
      <c r="G9">
        <v>10000</v>
      </c>
      <c r="I9" s="9" t="s">
        <v>125</v>
      </c>
      <c r="J9" s="10"/>
      <c r="K9" s="10"/>
      <c r="L9" s="10"/>
      <c r="M9" s="10"/>
      <c r="N9" s="10"/>
      <c r="O9" s="10"/>
      <c r="P9" s="10"/>
      <c r="Q9" s="10"/>
      <c r="R9" s="10">
        <v>1000</v>
      </c>
      <c r="S9" s="10"/>
      <c r="T9" s="10"/>
      <c r="U9" s="10"/>
      <c r="V9" s="10"/>
      <c r="W9" s="10"/>
      <c r="X9" s="10"/>
      <c r="Y9" s="10">
        <v>1000</v>
      </c>
      <c r="AA9">
        <f t="shared" si="0"/>
        <v>1000</v>
      </c>
    </row>
    <row r="10" spans="2:27" x14ac:dyDescent="0.25">
      <c r="B10" s="10" t="s">
        <v>123</v>
      </c>
      <c r="C10" s="6">
        <v>46154</v>
      </c>
      <c r="D10" s="10" t="s">
        <v>114</v>
      </c>
      <c r="E10" s="10" t="s">
        <v>14</v>
      </c>
      <c r="F10" s="10" t="s">
        <v>15</v>
      </c>
      <c r="G10">
        <v>3000</v>
      </c>
      <c r="I10" s="9" t="s">
        <v>129</v>
      </c>
      <c r="J10" s="10"/>
      <c r="K10" s="10"/>
      <c r="L10" s="10"/>
      <c r="M10" s="10"/>
      <c r="N10" s="10"/>
      <c r="O10" s="10"/>
      <c r="P10" s="10"/>
      <c r="Q10" s="10"/>
      <c r="R10" s="10"/>
      <c r="S10" s="10"/>
      <c r="T10" s="10"/>
      <c r="U10" s="10">
        <v>3000</v>
      </c>
      <c r="V10" s="10"/>
      <c r="W10" s="10"/>
      <c r="X10" s="10"/>
      <c r="Y10" s="10">
        <v>3000</v>
      </c>
      <c r="AA10">
        <f t="shared" si="0"/>
        <v>3000</v>
      </c>
    </row>
    <row r="11" spans="2:27" x14ac:dyDescent="0.25">
      <c r="B11" s="10" t="s">
        <v>124</v>
      </c>
      <c r="C11" s="6">
        <v>46154</v>
      </c>
      <c r="D11" s="10" t="s">
        <v>125</v>
      </c>
      <c r="E11" s="10" t="s">
        <v>9</v>
      </c>
      <c r="F11" s="10" t="s">
        <v>22</v>
      </c>
      <c r="G11">
        <v>1000</v>
      </c>
      <c r="I11" s="9" t="s">
        <v>132</v>
      </c>
      <c r="J11" s="10"/>
      <c r="K11" s="10"/>
      <c r="L11" s="10"/>
      <c r="M11" s="10"/>
      <c r="N11" s="10"/>
      <c r="O11" s="10"/>
      <c r="P11" s="10"/>
      <c r="Q11" s="10"/>
      <c r="R11" s="10"/>
      <c r="S11" s="10"/>
      <c r="T11" s="10"/>
      <c r="U11" s="10"/>
      <c r="V11" s="10"/>
      <c r="W11" s="10">
        <v>18000</v>
      </c>
      <c r="X11" s="10"/>
      <c r="Y11" s="10">
        <v>18000</v>
      </c>
      <c r="AA11">
        <f t="shared" si="0"/>
        <v>18000</v>
      </c>
    </row>
    <row r="12" spans="2:27" x14ac:dyDescent="0.25">
      <c r="B12" s="10" t="s">
        <v>126</v>
      </c>
      <c r="C12" s="6">
        <v>46155</v>
      </c>
      <c r="D12" s="10" t="s">
        <v>112</v>
      </c>
      <c r="E12" s="10" t="s">
        <v>9</v>
      </c>
      <c r="F12" s="10" t="s">
        <v>26</v>
      </c>
      <c r="G12">
        <v>18000</v>
      </c>
      <c r="I12" s="9" t="s">
        <v>40</v>
      </c>
      <c r="J12" s="10">
        <v>18000</v>
      </c>
      <c r="K12" s="10">
        <v>3000</v>
      </c>
      <c r="L12" s="10">
        <v>10000</v>
      </c>
      <c r="M12" s="10">
        <v>18000</v>
      </c>
      <c r="N12" s="10">
        <v>1000</v>
      </c>
      <c r="O12" s="10">
        <v>18000</v>
      </c>
      <c r="P12" s="10">
        <v>10000</v>
      </c>
      <c r="Q12" s="10">
        <v>3000</v>
      </c>
      <c r="R12" s="10">
        <v>1000</v>
      </c>
      <c r="S12" s="10">
        <v>18000</v>
      </c>
      <c r="T12" s="10">
        <v>10000</v>
      </c>
      <c r="U12" s="10">
        <v>3000</v>
      </c>
      <c r="V12" s="10">
        <v>18000</v>
      </c>
      <c r="W12" s="10">
        <v>18000</v>
      </c>
      <c r="X12" s="10">
        <v>3000</v>
      </c>
      <c r="Y12" s="10">
        <v>152000</v>
      </c>
    </row>
    <row r="13" spans="2:27" x14ac:dyDescent="0.25">
      <c r="B13" s="10" t="s">
        <v>127</v>
      </c>
      <c r="C13" s="6">
        <v>46155</v>
      </c>
      <c r="D13" s="10" t="s">
        <v>116</v>
      </c>
      <c r="E13" s="10" t="s">
        <v>19</v>
      </c>
      <c r="F13" s="10" t="s">
        <v>10</v>
      </c>
      <c r="G13">
        <v>10000</v>
      </c>
    </row>
    <row r="14" spans="2:27" x14ac:dyDescent="0.25">
      <c r="B14" s="10" t="s">
        <v>128</v>
      </c>
      <c r="C14" s="6">
        <v>46155</v>
      </c>
      <c r="D14" s="10" t="s">
        <v>129</v>
      </c>
      <c r="E14" s="10" t="s">
        <v>31</v>
      </c>
      <c r="F14" s="10" t="s">
        <v>15</v>
      </c>
      <c r="G14">
        <v>3000</v>
      </c>
    </row>
    <row r="15" spans="2:27" x14ac:dyDescent="0.25">
      <c r="B15" s="10" t="s">
        <v>130</v>
      </c>
      <c r="C15" s="6">
        <v>46156</v>
      </c>
      <c r="D15" s="10" t="s">
        <v>112</v>
      </c>
      <c r="E15" s="10" t="s">
        <v>9</v>
      </c>
      <c r="F15" s="10" t="s">
        <v>26</v>
      </c>
      <c r="G15">
        <v>18000</v>
      </c>
    </row>
    <row r="16" spans="2:27" x14ac:dyDescent="0.25">
      <c r="B16" s="10" t="s">
        <v>131</v>
      </c>
      <c r="C16" s="6">
        <v>46156</v>
      </c>
      <c r="D16" s="10" t="s">
        <v>132</v>
      </c>
      <c r="E16" s="10" t="s">
        <v>25</v>
      </c>
      <c r="F16" s="10" t="s">
        <v>26</v>
      </c>
      <c r="G16">
        <v>18000</v>
      </c>
    </row>
    <row r="17" spans="2:7" x14ac:dyDescent="0.25">
      <c r="B17" s="10" t="s">
        <v>133</v>
      </c>
      <c r="C17" s="6">
        <v>46156</v>
      </c>
      <c r="D17" s="10" t="s">
        <v>114</v>
      </c>
      <c r="E17" s="10" t="s">
        <v>14</v>
      </c>
      <c r="F17" s="10" t="s">
        <v>15</v>
      </c>
      <c r="G17">
        <v>3000</v>
      </c>
    </row>
    <row r="18" spans="2:7" x14ac:dyDescent="0.25">
      <c r="F18" s="10"/>
    </row>
    <row r="19" spans="2:7" x14ac:dyDescent="0.25">
      <c r="F19" s="10"/>
    </row>
    <row r="20" spans="2:7" ht="18.75" x14ac:dyDescent="0.25">
      <c r="B20" s="57" t="s">
        <v>210</v>
      </c>
      <c r="C20" s="57"/>
      <c r="D20" s="57"/>
      <c r="E20" s="57"/>
      <c r="F20" s="10"/>
    </row>
    <row r="21" spans="2:7" ht="18.75" customHeight="1" x14ac:dyDescent="0.25">
      <c r="F21" s="10"/>
    </row>
    <row r="22" spans="2:7" x14ac:dyDescent="0.25">
      <c r="B22" s="48" t="s">
        <v>211</v>
      </c>
      <c r="C22" s="48"/>
      <c r="D22" s="65"/>
      <c r="F22" s="10"/>
    </row>
    <row r="23" spans="2:7" ht="30" x14ac:dyDescent="0.25">
      <c r="B23" s="20" t="s">
        <v>38</v>
      </c>
      <c r="C23" s="19" t="s">
        <v>39</v>
      </c>
      <c r="D23" s="10"/>
      <c r="G23" s="19"/>
    </row>
    <row r="24" spans="2:7" x14ac:dyDescent="0.25">
      <c r="B24" s="9" t="s">
        <v>112</v>
      </c>
      <c r="C24" s="10">
        <v>5</v>
      </c>
      <c r="D24" s="10"/>
    </row>
    <row r="25" spans="2:7" x14ac:dyDescent="0.25">
      <c r="B25" s="9" t="s">
        <v>114</v>
      </c>
      <c r="C25" s="10">
        <v>3</v>
      </c>
      <c r="D25" s="10"/>
    </row>
    <row r="26" spans="2:7" x14ac:dyDescent="0.25">
      <c r="B26" s="9" t="s">
        <v>116</v>
      </c>
      <c r="C26" s="10">
        <v>2</v>
      </c>
      <c r="D26" s="10"/>
    </row>
    <row r="27" spans="2:7" x14ac:dyDescent="0.25">
      <c r="B27" s="9" t="s">
        <v>119</v>
      </c>
      <c r="C27" s="63">
        <v>1</v>
      </c>
      <c r="D27" s="10"/>
    </row>
    <row r="28" spans="2:7" x14ac:dyDescent="0.25">
      <c r="B28" s="9" t="s">
        <v>121</v>
      </c>
      <c r="C28" s="63">
        <v>1</v>
      </c>
      <c r="D28" s="10"/>
    </row>
    <row r="29" spans="2:7" x14ac:dyDescent="0.25">
      <c r="B29" s="9" t="s">
        <v>125</v>
      </c>
      <c r="C29" s="63">
        <v>1</v>
      </c>
      <c r="D29" s="10"/>
    </row>
    <row r="30" spans="2:7" x14ac:dyDescent="0.25">
      <c r="B30" s="9" t="s">
        <v>129</v>
      </c>
      <c r="C30" s="63">
        <v>1</v>
      </c>
      <c r="D30" s="10"/>
      <c r="E30" s="10"/>
      <c r="F30" s="10"/>
    </row>
    <row r="31" spans="2:7" x14ac:dyDescent="0.25">
      <c r="B31" s="9" t="s">
        <v>132</v>
      </c>
      <c r="C31" s="63">
        <v>1</v>
      </c>
    </row>
    <row r="32" spans="2:7" x14ac:dyDescent="0.25">
      <c r="B32" s="9" t="s">
        <v>40</v>
      </c>
      <c r="C32" s="10">
        <v>15</v>
      </c>
    </row>
    <row r="33" spans="2:10" s="19" customFormat="1" x14ac:dyDescent="0.25">
      <c r="J33"/>
    </row>
    <row r="34" spans="2:10" s="19" customFormat="1" x14ac:dyDescent="0.25">
      <c r="B34" s="62" t="s">
        <v>212</v>
      </c>
      <c r="C34" s="62"/>
      <c r="D34" s="62"/>
      <c r="E34" s="62"/>
      <c r="J34"/>
    </row>
    <row r="35" spans="2:10" x14ac:dyDescent="0.25">
      <c r="B35" s="62"/>
      <c r="C35" s="62"/>
      <c r="D35" s="62"/>
      <c r="E35" s="62"/>
    </row>
    <row r="36" spans="2:10" x14ac:dyDescent="0.25">
      <c r="B36" s="64"/>
      <c r="C36" s="64"/>
      <c r="D36" s="64"/>
      <c r="E36" s="64"/>
    </row>
    <row r="37" spans="2:10" x14ac:dyDescent="0.25">
      <c r="B37" s="64"/>
      <c r="C37" s="64"/>
      <c r="D37" s="64"/>
      <c r="E37" s="64"/>
    </row>
    <row r="38" spans="2:10" ht="18.75" x14ac:dyDescent="0.25">
      <c r="B38" s="57" t="s">
        <v>213</v>
      </c>
      <c r="C38" s="57"/>
      <c r="D38" s="57"/>
      <c r="E38" s="57"/>
    </row>
    <row r="40" spans="2:10" x14ac:dyDescent="0.25">
      <c r="B40" s="48" t="s">
        <v>214</v>
      </c>
      <c r="C40" s="48"/>
      <c r="D40" s="65"/>
    </row>
    <row r="41" spans="2:10" ht="45" x14ac:dyDescent="0.25">
      <c r="B41" s="20" t="s">
        <v>38</v>
      </c>
      <c r="C41" s="19" t="s">
        <v>39</v>
      </c>
      <c r="D41" s="66" t="s">
        <v>215</v>
      </c>
    </row>
    <row r="42" spans="2:10" x14ac:dyDescent="0.25">
      <c r="B42" s="9" t="s">
        <v>9</v>
      </c>
      <c r="C42" s="10">
        <v>6</v>
      </c>
      <c r="D42" s="67">
        <f>C42/GETPIVOTDATA("transaction_id",$B$41)</f>
        <v>0.4</v>
      </c>
    </row>
    <row r="43" spans="2:10" x14ac:dyDescent="0.25">
      <c r="B43" s="9" t="s">
        <v>14</v>
      </c>
      <c r="C43" s="10">
        <v>3</v>
      </c>
      <c r="D43" s="67">
        <f t="shared" ref="D43:D47" si="1">C43/GETPIVOTDATA("transaction_id",$B$41)</f>
        <v>0.2</v>
      </c>
    </row>
    <row r="44" spans="2:10" x14ac:dyDescent="0.25">
      <c r="B44" s="9" t="s">
        <v>31</v>
      </c>
      <c r="C44" s="10">
        <v>2</v>
      </c>
      <c r="D44" s="67">
        <f t="shared" si="1"/>
        <v>0.13333333333333333</v>
      </c>
    </row>
    <row r="45" spans="2:10" x14ac:dyDescent="0.25">
      <c r="B45" s="9" t="s">
        <v>19</v>
      </c>
      <c r="C45" s="10">
        <v>2</v>
      </c>
      <c r="D45" s="67">
        <f t="shared" si="1"/>
        <v>0.13333333333333333</v>
      </c>
    </row>
    <row r="46" spans="2:10" x14ac:dyDescent="0.25">
      <c r="B46" s="9" t="s">
        <v>25</v>
      </c>
      <c r="C46" s="10">
        <v>2</v>
      </c>
      <c r="D46" s="67">
        <f t="shared" si="1"/>
        <v>0.13333333333333333</v>
      </c>
    </row>
    <row r="47" spans="2:10" x14ac:dyDescent="0.25">
      <c r="B47" s="9" t="s">
        <v>40</v>
      </c>
      <c r="C47" s="10">
        <v>15</v>
      </c>
      <c r="D47" s="68">
        <f t="shared" si="1"/>
        <v>1</v>
      </c>
    </row>
    <row r="49" spans="2:5" x14ac:dyDescent="0.25">
      <c r="B49" s="62" t="s">
        <v>220</v>
      </c>
      <c r="C49" s="62"/>
      <c r="D49" s="62"/>
      <c r="E49" s="62"/>
    </row>
    <row r="50" spans="2:5" x14ac:dyDescent="0.25">
      <c r="B50" s="62"/>
      <c r="C50" s="62"/>
      <c r="D50" s="62"/>
      <c r="E50" s="62"/>
    </row>
    <row r="52" spans="2:5" ht="18.75" customHeight="1" x14ac:dyDescent="0.25">
      <c r="B52" s="56" t="s">
        <v>216</v>
      </c>
      <c r="C52" s="56"/>
      <c r="D52" s="56"/>
      <c r="E52" s="56"/>
    </row>
    <row r="53" spans="2:5" ht="18.75" customHeight="1" x14ac:dyDescent="0.25">
      <c r="B53" s="56"/>
      <c r="C53" s="56"/>
      <c r="D53" s="56"/>
      <c r="E53" s="56"/>
    </row>
    <row r="55" spans="2:5" x14ac:dyDescent="0.25">
      <c r="B55" s="48" t="s">
        <v>217</v>
      </c>
      <c r="C55" s="48"/>
      <c r="D55" s="65"/>
    </row>
    <row r="56" spans="2:5" ht="30" x14ac:dyDescent="0.25">
      <c r="B56" s="20" t="s">
        <v>38</v>
      </c>
      <c r="C56" s="19" t="s">
        <v>39</v>
      </c>
    </row>
    <row r="57" spans="2:5" x14ac:dyDescent="0.25">
      <c r="B57" s="9" t="s">
        <v>26</v>
      </c>
      <c r="C57" s="10">
        <v>6</v>
      </c>
    </row>
    <row r="58" spans="2:5" x14ac:dyDescent="0.25">
      <c r="B58" s="9" t="s">
        <v>10</v>
      </c>
      <c r="C58" s="10">
        <v>3</v>
      </c>
    </row>
    <row r="59" spans="2:5" x14ac:dyDescent="0.25">
      <c r="B59" s="9" t="s">
        <v>22</v>
      </c>
      <c r="C59" s="10">
        <v>2</v>
      </c>
    </row>
    <row r="60" spans="2:5" x14ac:dyDescent="0.25">
      <c r="B60" s="9" t="s">
        <v>15</v>
      </c>
      <c r="C60" s="10">
        <v>4</v>
      </c>
    </row>
    <row r="61" spans="2:5" x14ac:dyDescent="0.25">
      <c r="B61" s="9" t="s">
        <v>40</v>
      </c>
      <c r="C61" s="10">
        <v>15</v>
      </c>
    </row>
    <row r="63" spans="2:5" x14ac:dyDescent="0.25">
      <c r="B63" s="62" t="s">
        <v>218</v>
      </c>
      <c r="C63" s="62"/>
      <c r="D63" s="62"/>
      <c r="E63" s="62"/>
    </row>
    <row r="64" spans="2:5" x14ac:dyDescent="0.25">
      <c r="B64" s="62"/>
      <c r="C64" s="62"/>
      <c r="D64" s="62"/>
      <c r="E64" s="62"/>
    </row>
    <row r="65" spans="2:6" x14ac:dyDescent="0.25">
      <c r="B65" s="64"/>
      <c r="C65" s="64"/>
      <c r="D65" s="64"/>
      <c r="E65" s="64"/>
    </row>
    <row r="66" spans="2:6" x14ac:dyDescent="0.25">
      <c r="B66" s="64"/>
      <c r="C66" s="64"/>
      <c r="D66" s="64"/>
      <c r="E66" s="64"/>
    </row>
    <row r="67" spans="2:6" ht="15" customHeight="1" x14ac:dyDescent="0.25">
      <c r="B67" s="62" t="s">
        <v>219</v>
      </c>
      <c r="C67" s="62"/>
      <c r="D67" s="62"/>
      <c r="E67" s="62"/>
      <c r="F67" s="62"/>
    </row>
    <row r="68" spans="2:6" ht="15" customHeight="1" x14ac:dyDescent="0.25">
      <c r="B68" s="62"/>
      <c r="C68" s="62"/>
      <c r="D68" s="62"/>
      <c r="E68" s="62"/>
      <c r="F68" s="62"/>
    </row>
    <row r="69" spans="2:6" x14ac:dyDescent="0.25">
      <c r="B69" s="62"/>
      <c r="C69" s="62"/>
      <c r="D69" s="62"/>
      <c r="E69" s="62"/>
      <c r="F69" s="62"/>
    </row>
    <row r="70" spans="2:6" x14ac:dyDescent="0.25">
      <c r="B70" s="62"/>
      <c r="C70" s="62"/>
      <c r="D70" s="62"/>
      <c r="E70" s="62"/>
      <c r="F70" s="62"/>
    </row>
    <row r="71" spans="2:6" x14ac:dyDescent="0.25">
      <c r="B71" s="62"/>
      <c r="C71" s="62"/>
      <c r="D71" s="62"/>
      <c r="E71" s="62"/>
      <c r="F71" s="62"/>
    </row>
    <row r="72" spans="2:6" x14ac:dyDescent="0.25">
      <c r="B72" s="62"/>
      <c r="C72" s="62"/>
      <c r="D72" s="62"/>
      <c r="E72" s="62"/>
      <c r="F72" s="62"/>
    </row>
  </sheetData>
  <mergeCells count="11">
    <mergeCell ref="B49:E50"/>
    <mergeCell ref="B63:E64"/>
    <mergeCell ref="B67:F72"/>
    <mergeCell ref="B34:E35"/>
    <mergeCell ref="B40:C40"/>
    <mergeCell ref="B22:C22"/>
    <mergeCell ref="B55:C55"/>
    <mergeCell ref="B52:E53"/>
    <mergeCell ref="B1:G1"/>
    <mergeCell ref="B20:E20"/>
    <mergeCell ref="B38:E38"/>
  </mergeCells>
  <conditionalFormatting sqref="B23:C32">
    <cfRule type="cellIs" dxfId="18" priority="21" operator="lessThan">
      <formula>2</formula>
    </cfRule>
  </conditionalFormatting>
  <conditionalFormatting pivot="1" sqref="C42:C46">
    <cfRule type="cellIs" dxfId="17" priority="20" operator="greaterThan">
      <formula>5</formula>
    </cfRule>
  </conditionalFormatting>
  <conditionalFormatting pivot="1" sqref="C42:C46">
    <cfRule type="cellIs" dxfId="16" priority="19" operator="greaterThan">
      <formula>5</formula>
    </cfRule>
  </conditionalFormatting>
  <conditionalFormatting sqref="AA4:AA11">
    <cfRule type="top10" dxfId="15" priority="17" rank="2"/>
    <cfRule type="top10" dxfId="14" priority="18" rank="2"/>
  </conditionalFormatting>
  <conditionalFormatting pivot="1" sqref="C42">
    <cfRule type="cellIs" dxfId="13" priority="14" operator="greaterThan">
      <formula>4</formula>
    </cfRule>
  </conditionalFormatting>
  <conditionalFormatting pivot="1" sqref="C42">
    <cfRule type="cellIs" dxfId="12" priority="13" operator="greaterThan">
      <formula>3</formula>
    </cfRule>
  </conditionalFormatting>
  <conditionalFormatting pivot="1" sqref="C57">
    <cfRule type="cellIs" dxfId="11" priority="12" operator="greaterThan">
      <formula>5</formula>
    </cfRule>
  </conditionalFormatting>
  <conditionalFormatting pivot="1" sqref="C57">
    <cfRule type="cellIs" dxfId="10" priority="11" operator="greaterThan">
      <formula>5</formula>
    </cfRule>
  </conditionalFormatting>
  <conditionalFormatting pivot="1" sqref="C57">
    <cfRule type="cellIs" dxfId="9" priority="10" operator="greaterThan">
      <formula>4</formula>
    </cfRule>
  </conditionalFormatting>
  <conditionalFormatting pivot="1" sqref="C57">
    <cfRule type="cellIs" dxfId="8" priority="9" operator="greaterThan">
      <formula>3</formula>
    </cfRule>
  </conditionalFormatting>
  <pageMargins left="0.7" right="0.7" top="0.75" bottom="0.75" header="0.3" footer="0.3"/>
  <pageSetup paperSize="9" orientation="portrait" r:id="rId5"/>
  <tableParts count="2">
    <tablePart r:id="rId6"/>
    <tablePart r:id="rId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ECB73-66EA-4B00-BC8A-CE0DB78E1AD0}">
  <dimension ref="B2:AL28"/>
  <sheetViews>
    <sheetView topLeftCell="A6" workbookViewId="0">
      <selection activeCell="Q13" sqref="Q13"/>
    </sheetView>
  </sheetViews>
  <sheetFormatPr baseColWidth="10" defaultRowHeight="15" x14ac:dyDescent="0.25"/>
  <cols>
    <col min="1" max="1" width="3.28515625" customWidth="1"/>
    <col min="2" max="2" width="16" bestFit="1" customWidth="1"/>
    <col min="3" max="3" width="10.42578125" bestFit="1" customWidth="1"/>
    <col min="4" max="4" width="11" bestFit="1" customWidth="1"/>
    <col min="5" max="5" width="13.140625" bestFit="1" customWidth="1"/>
    <col min="6" max="6" width="10" bestFit="1" customWidth="1"/>
    <col min="7" max="7" width="13.42578125" bestFit="1" customWidth="1"/>
    <col min="8" max="8" width="12.28515625" bestFit="1" customWidth="1"/>
    <col min="9" max="9" width="5.42578125" bestFit="1" customWidth="1"/>
    <col min="10" max="10" width="21.42578125" bestFit="1" customWidth="1"/>
    <col min="11" max="11" width="7" bestFit="1" customWidth="1"/>
    <col min="12" max="12" width="7.5703125" bestFit="1" customWidth="1"/>
    <col min="13" max="13" width="15.7109375" customWidth="1"/>
    <col min="14" max="14" width="11.140625" customWidth="1"/>
    <col min="15" max="15" width="7.85546875" customWidth="1"/>
    <col min="16" max="16" width="8.140625" customWidth="1"/>
    <col min="17" max="17" width="5.85546875" customWidth="1"/>
    <col min="18" max="18" width="7.7109375" customWidth="1"/>
    <col min="19" max="19" width="6.28515625" customWidth="1"/>
    <col min="20" max="20" width="12.28515625" customWidth="1"/>
    <col min="21" max="21" width="3.85546875" customWidth="1"/>
    <col min="22" max="22" width="6.42578125" customWidth="1"/>
    <col min="23" max="23" width="4.28515625" customWidth="1"/>
    <col min="24" max="24" width="7.140625" customWidth="1"/>
    <col min="25" max="25" width="5.28515625" customWidth="1"/>
    <col min="26" max="26" width="6.5703125" customWidth="1"/>
    <col min="27" max="27" width="4.5703125" customWidth="1"/>
    <col min="28" max="28" width="6.28515625" customWidth="1"/>
    <col min="29" max="29" width="4.42578125" customWidth="1"/>
    <col min="30" max="30" width="6.140625" customWidth="1"/>
    <col min="31" max="31" width="4.28515625" customWidth="1"/>
    <col min="32" max="32" width="7.42578125" customWidth="1"/>
    <col min="33" max="33" width="11.5703125" customWidth="1"/>
    <col min="34" max="34" width="7.28515625" bestFit="1" customWidth="1"/>
    <col min="35" max="35" width="10.28515625" bestFit="1" customWidth="1"/>
    <col min="36" max="36" width="7.28515625" bestFit="1" customWidth="1"/>
    <col min="37" max="37" width="10.28515625" bestFit="1" customWidth="1"/>
    <col min="38" max="38" width="12.5703125" bestFit="1" customWidth="1"/>
  </cols>
  <sheetData>
    <row r="2" spans="2:20" s="19" customFormat="1" ht="28.5" customHeight="1" x14ac:dyDescent="0.25">
      <c r="B2" s="19" t="s">
        <v>0</v>
      </c>
      <c r="C2" s="19" t="s">
        <v>1</v>
      </c>
      <c r="D2" s="19" t="s">
        <v>2</v>
      </c>
      <c r="E2" s="19" t="s">
        <v>3</v>
      </c>
      <c r="F2" s="19" t="s">
        <v>4</v>
      </c>
      <c r="G2" s="19" t="s">
        <v>5</v>
      </c>
      <c r="H2" s="19" t="s">
        <v>135</v>
      </c>
      <c r="J2" s="20" t="s">
        <v>39</v>
      </c>
      <c r="K2" s="20" t="s">
        <v>42</v>
      </c>
    </row>
    <row r="3" spans="2:20" x14ac:dyDescent="0.25">
      <c r="B3" s="10" t="s">
        <v>136</v>
      </c>
      <c r="C3" s="6">
        <v>46157</v>
      </c>
      <c r="D3" s="10" t="s">
        <v>112</v>
      </c>
      <c r="E3" s="10" t="s">
        <v>9</v>
      </c>
      <c r="F3" s="10" t="s">
        <v>26</v>
      </c>
      <c r="G3">
        <v>18000</v>
      </c>
      <c r="H3" s="10" t="s">
        <v>137</v>
      </c>
      <c r="J3" s="8" t="s">
        <v>168</v>
      </c>
      <c r="K3" t="s">
        <v>112</v>
      </c>
      <c r="L3" t="s">
        <v>114</v>
      </c>
      <c r="M3" t="s">
        <v>116</v>
      </c>
      <c r="N3" t="s">
        <v>121</v>
      </c>
      <c r="O3" t="s">
        <v>145</v>
      </c>
      <c r="P3" t="s">
        <v>147</v>
      </c>
      <c r="Q3" t="s">
        <v>151</v>
      </c>
      <c r="R3" t="s">
        <v>155</v>
      </c>
      <c r="S3" t="s">
        <v>161</v>
      </c>
      <c r="T3" t="s">
        <v>40</v>
      </c>
    </row>
    <row r="4" spans="2:20" x14ac:dyDescent="0.25">
      <c r="B4" s="10" t="s">
        <v>138</v>
      </c>
      <c r="C4" s="6">
        <v>46157</v>
      </c>
      <c r="D4" s="10" t="s">
        <v>114</v>
      </c>
      <c r="E4" s="10" t="s">
        <v>14</v>
      </c>
      <c r="F4" s="10" t="s">
        <v>15</v>
      </c>
      <c r="G4">
        <v>3000</v>
      </c>
      <c r="H4" s="10" t="s">
        <v>137</v>
      </c>
      <c r="J4" s="9" t="s">
        <v>137</v>
      </c>
      <c r="K4" s="10">
        <v>1</v>
      </c>
      <c r="L4" s="10">
        <v>1</v>
      </c>
      <c r="M4" s="10">
        <v>1</v>
      </c>
      <c r="N4" s="10">
        <v>1</v>
      </c>
      <c r="O4" s="10"/>
      <c r="P4" s="10"/>
      <c r="Q4" s="10"/>
      <c r="R4" s="10"/>
      <c r="S4" s="10"/>
      <c r="T4" s="10">
        <v>4</v>
      </c>
    </row>
    <row r="5" spans="2:20" x14ac:dyDescent="0.25">
      <c r="B5" s="10" t="s">
        <v>139</v>
      </c>
      <c r="C5" s="6">
        <v>46157</v>
      </c>
      <c r="D5" s="10" t="s">
        <v>116</v>
      </c>
      <c r="E5" s="10" t="s">
        <v>19</v>
      </c>
      <c r="F5" s="10" t="s">
        <v>10</v>
      </c>
      <c r="G5">
        <v>10000</v>
      </c>
      <c r="H5" s="10" t="s">
        <v>137</v>
      </c>
      <c r="J5" s="9" t="s">
        <v>142</v>
      </c>
      <c r="K5" s="28">
        <v>2</v>
      </c>
      <c r="L5" s="10">
        <v>1</v>
      </c>
      <c r="M5" s="10">
        <v>1</v>
      </c>
      <c r="N5" s="10"/>
      <c r="O5" s="23">
        <v>1</v>
      </c>
      <c r="P5" s="23">
        <v>1</v>
      </c>
      <c r="Q5" s="23">
        <v>1</v>
      </c>
      <c r="R5" s="23">
        <v>1</v>
      </c>
      <c r="S5" s="10"/>
      <c r="T5" s="10">
        <v>8</v>
      </c>
    </row>
    <row r="6" spans="2:20" x14ac:dyDescent="0.25">
      <c r="B6" s="10" t="s">
        <v>140</v>
      </c>
      <c r="C6" s="6">
        <v>46157</v>
      </c>
      <c r="D6" s="10" t="s">
        <v>121</v>
      </c>
      <c r="E6" s="10" t="s">
        <v>25</v>
      </c>
      <c r="F6" s="10" t="s">
        <v>26</v>
      </c>
      <c r="G6">
        <v>18000</v>
      </c>
      <c r="H6" s="10" t="s">
        <v>137</v>
      </c>
      <c r="J6" s="9" t="s">
        <v>158</v>
      </c>
      <c r="K6" s="10">
        <v>1</v>
      </c>
      <c r="L6" s="10">
        <v>1</v>
      </c>
      <c r="M6" s="10"/>
      <c r="N6" s="10"/>
      <c r="O6" s="10"/>
      <c r="P6" s="10"/>
      <c r="Q6" s="10"/>
      <c r="R6" s="10"/>
      <c r="S6" s="23">
        <v>1</v>
      </c>
      <c r="T6" s="10">
        <v>3</v>
      </c>
    </row>
    <row r="7" spans="2:20" x14ac:dyDescent="0.25">
      <c r="B7" s="10" t="s">
        <v>141</v>
      </c>
      <c r="C7" s="6">
        <v>46158</v>
      </c>
      <c r="D7" s="10" t="s">
        <v>112</v>
      </c>
      <c r="E7" s="10" t="s">
        <v>9</v>
      </c>
      <c r="F7" s="10" t="s">
        <v>26</v>
      </c>
      <c r="G7">
        <v>12600</v>
      </c>
      <c r="H7" s="10" t="s">
        <v>142</v>
      </c>
      <c r="J7" s="9" t="s">
        <v>40</v>
      </c>
      <c r="K7" s="10">
        <v>4</v>
      </c>
      <c r="L7" s="10">
        <v>3</v>
      </c>
      <c r="M7" s="10">
        <v>2</v>
      </c>
      <c r="N7" s="10">
        <v>1</v>
      </c>
      <c r="O7" s="10">
        <v>1</v>
      </c>
      <c r="P7" s="10">
        <v>1</v>
      </c>
      <c r="Q7" s="10">
        <v>1</v>
      </c>
      <c r="R7" s="10">
        <v>1</v>
      </c>
      <c r="S7" s="10">
        <v>1</v>
      </c>
      <c r="T7" s="10">
        <v>15</v>
      </c>
    </row>
    <row r="8" spans="2:20" x14ac:dyDescent="0.25">
      <c r="B8" s="10" t="s">
        <v>143</v>
      </c>
      <c r="C8" s="6">
        <v>46158</v>
      </c>
      <c r="D8" s="10" t="s">
        <v>114</v>
      </c>
      <c r="E8" s="10" t="s">
        <v>14</v>
      </c>
      <c r="F8" s="10" t="s">
        <v>15</v>
      </c>
      <c r="G8">
        <v>3000</v>
      </c>
      <c r="H8" s="10" t="s">
        <v>142</v>
      </c>
      <c r="J8" s="27" t="s">
        <v>163</v>
      </c>
      <c r="K8" s="33" t="s">
        <v>145</v>
      </c>
      <c r="L8" s="33" t="s">
        <v>147</v>
      </c>
      <c r="M8" s="33" t="s">
        <v>151</v>
      </c>
      <c r="N8" s="33" t="s">
        <v>155</v>
      </c>
      <c r="O8" s="33" t="s">
        <v>161</v>
      </c>
    </row>
    <row r="9" spans="2:20" x14ac:dyDescent="0.25">
      <c r="B9" s="10" t="s">
        <v>144</v>
      </c>
      <c r="C9" s="6">
        <v>46158</v>
      </c>
      <c r="D9" s="10" t="s">
        <v>145</v>
      </c>
      <c r="E9" s="10" t="s">
        <v>31</v>
      </c>
      <c r="F9" s="10" t="s">
        <v>26</v>
      </c>
      <c r="G9">
        <v>12600</v>
      </c>
      <c r="H9" s="10" t="s">
        <v>142</v>
      </c>
      <c r="J9" s="29" t="s">
        <v>164</v>
      </c>
      <c r="K9" s="29" t="s">
        <v>112</v>
      </c>
    </row>
    <row r="10" spans="2:20" x14ac:dyDescent="0.25">
      <c r="B10" s="10" t="s">
        <v>146</v>
      </c>
      <c r="C10" s="6">
        <v>46158</v>
      </c>
      <c r="D10" s="10" t="s">
        <v>147</v>
      </c>
      <c r="E10" s="10" t="s">
        <v>148</v>
      </c>
      <c r="F10" s="10" t="s">
        <v>26</v>
      </c>
      <c r="G10">
        <v>12600</v>
      </c>
      <c r="H10" s="10" t="s">
        <v>142</v>
      </c>
    </row>
    <row r="11" spans="2:20" x14ac:dyDescent="0.25">
      <c r="B11" s="10" t="s">
        <v>149</v>
      </c>
      <c r="C11" s="6">
        <v>46159</v>
      </c>
      <c r="D11" s="10" t="s">
        <v>112</v>
      </c>
      <c r="E11" s="10" t="s">
        <v>9</v>
      </c>
      <c r="F11" s="10" t="s">
        <v>26</v>
      </c>
      <c r="G11">
        <v>12600</v>
      </c>
      <c r="H11" s="10" t="s">
        <v>142</v>
      </c>
    </row>
    <row r="12" spans="2:20" x14ac:dyDescent="0.25">
      <c r="B12" s="10" t="s">
        <v>150</v>
      </c>
      <c r="C12" s="6">
        <v>46159</v>
      </c>
      <c r="D12" s="10" t="s">
        <v>151</v>
      </c>
      <c r="E12" s="10" t="s">
        <v>152</v>
      </c>
      <c r="F12" s="10" t="s">
        <v>26</v>
      </c>
      <c r="G12">
        <v>12600</v>
      </c>
      <c r="H12" s="10" t="s">
        <v>142</v>
      </c>
      <c r="J12" s="8" t="s">
        <v>39</v>
      </c>
      <c r="K12" s="8" t="s">
        <v>42</v>
      </c>
    </row>
    <row r="13" spans="2:20" s="19" customFormat="1" ht="27" customHeight="1" x14ac:dyDescent="0.25">
      <c r="B13" s="30" t="s">
        <v>153</v>
      </c>
      <c r="C13" s="31">
        <v>46159</v>
      </c>
      <c r="D13" s="30" t="s">
        <v>116</v>
      </c>
      <c r="E13" s="30" t="s">
        <v>19</v>
      </c>
      <c r="F13" s="30" t="s">
        <v>10</v>
      </c>
      <c r="G13" s="19">
        <v>10000</v>
      </c>
      <c r="H13" s="30" t="s">
        <v>142</v>
      </c>
      <c r="J13" s="20" t="s">
        <v>168</v>
      </c>
      <c r="K13" s="19" t="s">
        <v>152</v>
      </c>
      <c r="L13" s="19" t="s">
        <v>9</v>
      </c>
      <c r="M13" s="19" t="s">
        <v>148</v>
      </c>
      <c r="N13" s="19" t="s">
        <v>14</v>
      </c>
      <c r="O13" s="19" t="s">
        <v>31</v>
      </c>
      <c r="P13" s="19" t="s">
        <v>19</v>
      </c>
      <c r="Q13" s="19" t="s">
        <v>25</v>
      </c>
      <c r="R13" s="19" t="s">
        <v>156</v>
      </c>
      <c r="S13" s="19" t="s">
        <v>162</v>
      </c>
      <c r="T13" s="19" t="s">
        <v>40</v>
      </c>
    </row>
    <row r="14" spans="2:20" x14ac:dyDescent="0.25">
      <c r="B14" s="10" t="s">
        <v>154</v>
      </c>
      <c r="C14" s="6">
        <v>46159</v>
      </c>
      <c r="D14" s="10" t="s">
        <v>155</v>
      </c>
      <c r="E14" s="10" t="s">
        <v>156</v>
      </c>
      <c r="F14" s="10" t="s">
        <v>26</v>
      </c>
      <c r="G14">
        <v>12600</v>
      </c>
      <c r="H14" s="10" t="s">
        <v>142</v>
      </c>
      <c r="J14" s="9" t="s">
        <v>137</v>
      </c>
      <c r="K14" s="10"/>
      <c r="L14" s="10">
        <v>1</v>
      </c>
      <c r="M14" s="10"/>
      <c r="N14" s="10">
        <v>1</v>
      </c>
      <c r="O14" s="10"/>
      <c r="P14" s="10">
        <v>1</v>
      </c>
      <c r="Q14" s="10">
        <v>1</v>
      </c>
      <c r="R14" s="10"/>
      <c r="S14" s="10"/>
      <c r="T14" s="10">
        <v>4</v>
      </c>
    </row>
    <row r="15" spans="2:20" x14ac:dyDescent="0.25">
      <c r="B15" s="10" t="s">
        <v>157</v>
      </c>
      <c r="C15" s="6">
        <v>46160</v>
      </c>
      <c r="D15" s="10" t="s">
        <v>112</v>
      </c>
      <c r="E15" s="10" t="s">
        <v>9</v>
      </c>
      <c r="F15" s="10" t="s">
        <v>26</v>
      </c>
      <c r="G15">
        <v>18000</v>
      </c>
      <c r="H15" s="10" t="s">
        <v>158</v>
      </c>
      <c r="J15" s="9" t="s">
        <v>142</v>
      </c>
      <c r="K15" s="23">
        <v>1</v>
      </c>
      <c r="L15" s="10">
        <v>2</v>
      </c>
      <c r="M15" s="23">
        <v>1</v>
      </c>
      <c r="N15" s="10">
        <v>1</v>
      </c>
      <c r="O15" s="23">
        <v>1</v>
      </c>
      <c r="P15" s="10">
        <v>1</v>
      </c>
      <c r="Q15" s="10"/>
      <c r="R15" s="23">
        <v>1</v>
      </c>
      <c r="S15" s="10"/>
      <c r="T15" s="10">
        <v>8</v>
      </c>
    </row>
    <row r="16" spans="2:20" x14ac:dyDescent="0.25">
      <c r="B16" s="10" t="s">
        <v>159</v>
      </c>
      <c r="C16" s="6">
        <v>46160</v>
      </c>
      <c r="D16" s="10" t="s">
        <v>114</v>
      </c>
      <c r="E16" s="10" t="s">
        <v>14</v>
      </c>
      <c r="F16" s="10" t="s">
        <v>15</v>
      </c>
      <c r="G16">
        <v>3000</v>
      </c>
      <c r="H16" s="10" t="s">
        <v>158</v>
      </c>
      <c r="J16" s="9" t="s">
        <v>158</v>
      </c>
      <c r="K16" s="10"/>
      <c r="L16" s="10">
        <v>1</v>
      </c>
      <c r="M16" s="10"/>
      <c r="N16" s="10">
        <v>1</v>
      </c>
      <c r="O16" s="10"/>
      <c r="P16" s="10"/>
      <c r="Q16" s="10"/>
      <c r="R16" s="10"/>
      <c r="S16" s="23">
        <v>1</v>
      </c>
      <c r="T16" s="10">
        <v>3</v>
      </c>
    </row>
    <row r="17" spans="2:38" x14ac:dyDescent="0.25">
      <c r="B17" s="10" t="s">
        <v>160</v>
      </c>
      <c r="C17" s="6">
        <v>46160</v>
      </c>
      <c r="D17" s="10" t="s">
        <v>161</v>
      </c>
      <c r="E17" s="10" t="s">
        <v>162</v>
      </c>
      <c r="F17" s="10" t="s">
        <v>26</v>
      </c>
      <c r="G17">
        <v>18000</v>
      </c>
      <c r="H17" s="10" t="s">
        <v>158</v>
      </c>
      <c r="J17" s="9" t="s">
        <v>40</v>
      </c>
      <c r="K17" s="10">
        <v>1</v>
      </c>
      <c r="L17" s="10">
        <v>4</v>
      </c>
      <c r="M17" s="10">
        <v>1</v>
      </c>
      <c r="N17" s="10">
        <v>3</v>
      </c>
      <c r="O17" s="10">
        <v>1</v>
      </c>
      <c r="P17" s="10">
        <v>2</v>
      </c>
      <c r="Q17" s="10">
        <v>1</v>
      </c>
      <c r="R17" s="10">
        <v>1</v>
      </c>
      <c r="S17" s="10">
        <v>1</v>
      </c>
      <c r="T17" s="10">
        <v>15</v>
      </c>
    </row>
    <row r="18" spans="2:38" x14ac:dyDescent="0.25">
      <c r="J18" s="27" t="s">
        <v>165</v>
      </c>
    </row>
    <row r="19" spans="2:38" ht="45" x14ac:dyDescent="0.25">
      <c r="M19" s="19"/>
      <c r="N19" s="20" t="s">
        <v>42</v>
      </c>
      <c r="P19" s="19"/>
      <c r="Q19" s="19"/>
      <c r="R19" s="19"/>
      <c r="S19" s="19"/>
      <c r="T19" s="19"/>
      <c r="U19" s="19"/>
      <c r="V19" s="19"/>
      <c r="W19" s="19"/>
      <c r="X19" s="19"/>
      <c r="Y19" s="19"/>
      <c r="Z19" s="19"/>
      <c r="AA19" s="19"/>
      <c r="AB19" s="19"/>
      <c r="AC19" s="19"/>
      <c r="AD19" s="19"/>
      <c r="AE19" s="19"/>
      <c r="AF19" s="19"/>
      <c r="AG19" s="19"/>
    </row>
    <row r="20" spans="2:38" s="19" customFormat="1" ht="29.25" customHeight="1" x14ac:dyDescent="0.25">
      <c r="N20" s="32" t="s">
        <v>112</v>
      </c>
      <c r="O20" s="32"/>
      <c r="P20" s="26" t="s">
        <v>114</v>
      </c>
      <c r="Q20" s="26"/>
      <c r="R20" s="32" t="s">
        <v>116</v>
      </c>
      <c r="S20" s="32"/>
      <c r="T20" s="26" t="s">
        <v>121</v>
      </c>
      <c r="U20" s="26"/>
      <c r="V20" s="32" t="s">
        <v>145</v>
      </c>
      <c r="W20" s="32"/>
      <c r="X20" s="26" t="s">
        <v>147</v>
      </c>
      <c r="Y20" s="26"/>
      <c r="Z20" s="32" t="s">
        <v>151</v>
      </c>
      <c r="AA20" s="32"/>
      <c r="AB20" s="26" t="s">
        <v>155</v>
      </c>
      <c r="AC20" s="26"/>
      <c r="AD20" s="32" t="s">
        <v>161</v>
      </c>
      <c r="AE20" s="32"/>
      <c r="AF20" s="19" t="s">
        <v>70</v>
      </c>
      <c r="AG20" s="19" t="s">
        <v>69</v>
      </c>
      <c r="AH20"/>
      <c r="AI20"/>
      <c r="AJ20"/>
      <c r="AK20"/>
      <c r="AL20"/>
    </row>
    <row r="21" spans="2:38" s="19" customFormat="1" ht="30" customHeight="1" x14ac:dyDescent="0.25">
      <c r="J21" s="20" t="s">
        <v>168</v>
      </c>
      <c r="K21" s="19" t="s">
        <v>37</v>
      </c>
      <c r="M21" s="20" t="s">
        <v>168</v>
      </c>
      <c r="N21" s="19" t="s">
        <v>41</v>
      </c>
      <c r="O21" s="19" t="s">
        <v>39</v>
      </c>
      <c r="P21" s="19" t="s">
        <v>41</v>
      </c>
      <c r="Q21" s="19" t="s">
        <v>39</v>
      </c>
      <c r="R21" s="19" t="s">
        <v>41</v>
      </c>
      <c r="S21" s="19" t="s">
        <v>39</v>
      </c>
      <c r="T21" s="19" t="s">
        <v>41</v>
      </c>
      <c r="U21" s="19" t="s">
        <v>39</v>
      </c>
      <c r="V21" s="19" t="s">
        <v>41</v>
      </c>
      <c r="W21" s="19" t="s">
        <v>39</v>
      </c>
      <c r="X21" s="19" t="s">
        <v>41</v>
      </c>
      <c r="Y21" s="19" t="s">
        <v>39</v>
      </c>
      <c r="Z21" s="19" t="s">
        <v>41</v>
      </c>
      <c r="AA21" s="19" t="s">
        <v>39</v>
      </c>
      <c r="AB21" s="19" t="s">
        <v>41</v>
      </c>
      <c r="AC21" s="19" t="s">
        <v>39</v>
      </c>
      <c r="AD21" s="19" t="s">
        <v>41</v>
      </c>
      <c r="AE21" s="19" t="s">
        <v>39</v>
      </c>
    </row>
    <row r="22" spans="2:38" x14ac:dyDescent="0.25">
      <c r="J22" s="9" t="s">
        <v>137</v>
      </c>
      <c r="K22" s="10">
        <v>49000</v>
      </c>
      <c r="M22" s="9" t="s">
        <v>137</v>
      </c>
      <c r="N22" s="23">
        <v>18000</v>
      </c>
      <c r="O22" s="23">
        <v>1</v>
      </c>
      <c r="P22" s="23">
        <v>3000</v>
      </c>
      <c r="Q22" s="21">
        <v>1</v>
      </c>
      <c r="R22" s="21">
        <v>10000</v>
      </c>
      <c r="S22" s="21">
        <v>1</v>
      </c>
      <c r="T22" s="21">
        <v>18000</v>
      </c>
      <c r="U22" s="21">
        <v>1</v>
      </c>
      <c r="V22" s="21"/>
      <c r="W22" s="21"/>
      <c r="X22" s="21"/>
      <c r="Y22" s="21"/>
      <c r="Z22" s="21"/>
      <c r="AA22" s="21"/>
      <c r="AB22" s="21"/>
      <c r="AC22" s="21"/>
      <c r="AD22" s="21"/>
      <c r="AE22" s="21"/>
      <c r="AF22" s="21">
        <v>49000</v>
      </c>
      <c r="AG22" s="21">
        <v>4</v>
      </c>
    </row>
    <row r="23" spans="2:38" x14ac:dyDescent="0.25">
      <c r="J23" s="9" t="s">
        <v>142</v>
      </c>
      <c r="K23" s="10">
        <v>88600</v>
      </c>
      <c r="M23" s="9" t="s">
        <v>142</v>
      </c>
      <c r="N23" s="23">
        <v>25200</v>
      </c>
      <c r="O23" s="23">
        <v>2</v>
      </c>
      <c r="P23" s="23">
        <v>3000</v>
      </c>
      <c r="Q23" s="21">
        <v>1</v>
      </c>
      <c r="R23" s="21">
        <v>10000</v>
      </c>
      <c r="S23" s="21">
        <v>1</v>
      </c>
      <c r="T23" s="21"/>
      <c r="U23" s="21"/>
      <c r="V23" s="21">
        <v>12600</v>
      </c>
      <c r="W23" s="21">
        <v>1</v>
      </c>
      <c r="X23" s="21">
        <v>12600</v>
      </c>
      <c r="Y23" s="21">
        <v>1</v>
      </c>
      <c r="Z23" s="21">
        <v>12600</v>
      </c>
      <c r="AA23" s="21">
        <v>1</v>
      </c>
      <c r="AB23" s="21">
        <v>12600</v>
      </c>
      <c r="AC23" s="21">
        <v>1</v>
      </c>
      <c r="AD23" s="21"/>
      <c r="AE23" s="21"/>
      <c r="AF23" s="21">
        <v>88600</v>
      </c>
      <c r="AG23" s="21">
        <v>8</v>
      </c>
    </row>
    <row r="24" spans="2:38" x14ac:dyDescent="0.25">
      <c r="J24" s="9" t="s">
        <v>158</v>
      </c>
      <c r="K24" s="10">
        <v>39000</v>
      </c>
      <c r="M24" s="9" t="s">
        <v>158</v>
      </c>
      <c r="N24" s="23">
        <v>18000</v>
      </c>
      <c r="O24" s="23">
        <v>1</v>
      </c>
      <c r="P24" s="23">
        <v>3000</v>
      </c>
      <c r="Q24" s="21">
        <v>1</v>
      </c>
      <c r="R24" s="21"/>
      <c r="S24" s="21"/>
      <c r="T24" s="21"/>
      <c r="U24" s="21"/>
      <c r="V24" s="21"/>
      <c r="W24" s="21"/>
      <c r="X24" s="21"/>
      <c r="Y24" s="21"/>
      <c r="Z24" s="21"/>
      <c r="AA24" s="21"/>
      <c r="AB24" s="21"/>
      <c r="AC24" s="21"/>
      <c r="AD24" s="21">
        <v>18000</v>
      </c>
      <c r="AE24" s="21">
        <v>1</v>
      </c>
      <c r="AF24" s="21">
        <v>39000</v>
      </c>
      <c r="AG24" s="21">
        <v>3</v>
      </c>
    </row>
    <row r="25" spans="2:38" x14ac:dyDescent="0.25">
      <c r="J25" s="9" t="s">
        <v>40</v>
      </c>
      <c r="K25" s="10">
        <v>176600</v>
      </c>
      <c r="M25" s="9" t="s">
        <v>40</v>
      </c>
      <c r="N25" s="10">
        <v>61200</v>
      </c>
      <c r="O25" s="10">
        <v>4</v>
      </c>
      <c r="P25" s="10">
        <v>9000</v>
      </c>
      <c r="Q25" s="10">
        <v>3</v>
      </c>
      <c r="R25" s="10">
        <v>20000</v>
      </c>
      <c r="S25" s="10">
        <v>2</v>
      </c>
      <c r="T25" s="10">
        <v>18000</v>
      </c>
      <c r="U25" s="10">
        <v>1</v>
      </c>
      <c r="V25" s="10">
        <v>12600</v>
      </c>
      <c r="W25" s="10">
        <v>1</v>
      </c>
      <c r="X25" s="10">
        <v>12600</v>
      </c>
      <c r="Y25" s="10">
        <v>1</v>
      </c>
      <c r="Z25" s="10">
        <v>12600</v>
      </c>
      <c r="AA25" s="10">
        <v>1</v>
      </c>
      <c r="AB25" s="10">
        <v>12600</v>
      </c>
      <c r="AC25" s="10">
        <v>1</v>
      </c>
      <c r="AD25" s="10">
        <v>18000</v>
      </c>
      <c r="AE25" s="10">
        <v>1</v>
      </c>
      <c r="AF25" s="10">
        <v>176600</v>
      </c>
      <c r="AG25" s="10">
        <v>15</v>
      </c>
    </row>
    <row r="26" spans="2:38" x14ac:dyDescent="0.25">
      <c r="J26" s="24" t="s">
        <v>166</v>
      </c>
      <c r="M26" s="27" t="s">
        <v>167</v>
      </c>
    </row>
    <row r="28" spans="2:38" x14ac:dyDescent="0.25">
      <c r="N28">
        <f>GETPIVOTDATA("Somme de montant_fc",$M$19,"client_id","C201","periode","Promo")/GETPIVOTDATA("Nombre de transaction_id",$M$19,"client_id","C201","periode","Promo")</f>
        <v>12600</v>
      </c>
    </row>
  </sheetData>
  <conditionalFormatting pivot="1" sqref="K22:K24">
    <cfRule type="colorScale" priority="2">
      <colorScale>
        <cfvo type="min"/>
        <cfvo type="percentile" val="50"/>
        <cfvo type="max"/>
        <color rgb="FFF8696B"/>
        <color rgb="FFFFEB84"/>
        <color rgb="FF63BE7B"/>
      </colorScale>
    </cfRule>
  </conditionalFormatting>
  <pageMargins left="0.7" right="0.7" top="0.75" bottom="0.75" header="0.3" footer="0.3"/>
  <tableParts count="1">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C23BD5-853B-4D2B-923F-C369D64D2E55}">
  <dimension ref="A1:G6"/>
  <sheetViews>
    <sheetView workbookViewId="0">
      <selection activeCell="D25" sqref="D25"/>
    </sheetView>
  </sheetViews>
  <sheetFormatPr baseColWidth="10" defaultRowHeight="15" x14ac:dyDescent="0.25"/>
  <cols>
    <col min="1" max="1" width="15.85546875" customWidth="1"/>
    <col min="5" max="5" width="12.140625" customWidth="1"/>
    <col min="7" max="7" width="13.28515625" customWidth="1"/>
  </cols>
  <sheetData>
    <row r="1" spans="1:7" x14ac:dyDescent="0.25">
      <c r="A1" t="s">
        <v>0</v>
      </c>
      <c r="B1" t="s">
        <v>1</v>
      </c>
      <c r="C1" t="s">
        <v>75</v>
      </c>
      <c r="D1" t="s">
        <v>2</v>
      </c>
      <c r="E1" t="s">
        <v>3</v>
      </c>
      <c r="F1" t="s">
        <v>4</v>
      </c>
      <c r="G1" t="s">
        <v>5</v>
      </c>
    </row>
    <row r="2" spans="1:7" x14ac:dyDescent="0.25">
      <c r="A2" t="s">
        <v>76</v>
      </c>
      <c r="B2" s="6">
        <v>46149</v>
      </c>
      <c r="C2" t="s">
        <v>77</v>
      </c>
      <c r="D2" t="s">
        <v>78</v>
      </c>
      <c r="E2" t="s">
        <v>9</v>
      </c>
      <c r="F2" t="s">
        <v>26</v>
      </c>
      <c r="G2">
        <v>18000</v>
      </c>
    </row>
    <row r="3" spans="1:7" x14ac:dyDescent="0.25">
      <c r="A3" t="s">
        <v>101</v>
      </c>
      <c r="B3" s="6">
        <v>46151</v>
      </c>
      <c r="C3" t="s">
        <v>77</v>
      </c>
      <c r="D3" t="s">
        <v>102</v>
      </c>
      <c r="E3" t="s">
        <v>9</v>
      </c>
      <c r="F3" t="s">
        <v>26</v>
      </c>
      <c r="G3">
        <v>18000</v>
      </c>
    </row>
    <row r="4" spans="1:7" x14ac:dyDescent="0.25">
      <c r="A4" t="s">
        <v>82</v>
      </c>
      <c r="B4" s="6">
        <v>46149</v>
      </c>
      <c r="C4" t="s">
        <v>77</v>
      </c>
      <c r="D4" t="s">
        <v>83</v>
      </c>
      <c r="E4" t="s">
        <v>9</v>
      </c>
      <c r="F4" t="s">
        <v>10</v>
      </c>
      <c r="G4">
        <v>10000</v>
      </c>
    </row>
    <row r="5" spans="1:7" x14ac:dyDescent="0.25">
      <c r="A5" t="s">
        <v>96</v>
      </c>
      <c r="B5" s="6">
        <v>46150</v>
      </c>
      <c r="C5" t="s">
        <v>77</v>
      </c>
      <c r="D5" t="s">
        <v>97</v>
      </c>
      <c r="E5" t="s">
        <v>9</v>
      </c>
      <c r="F5" t="s">
        <v>26</v>
      </c>
      <c r="G5">
        <v>18000</v>
      </c>
    </row>
    <row r="6" spans="1:7" x14ac:dyDescent="0.25">
      <c r="A6" t="s">
        <v>90</v>
      </c>
      <c r="B6" s="6">
        <v>46150</v>
      </c>
      <c r="C6" t="s">
        <v>77</v>
      </c>
      <c r="D6" t="s">
        <v>91</v>
      </c>
      <c r="E6" t="s">
        <v>9</v>
      </c>
      <c r="F6" t="s">
        <v>26</v>
      </c>
      <c r="G6">
        <v>18000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3FBB1-9F90-46B5-BBBD-13035CDCC0D4}">
  <dimension ref="A1"/>
  <sheetViews>
    <sheetView workbookViewId="0"/>
  </sheetViews>
  <sheetFormatPr baseColWidth="10" defaultRowHeight="15"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544C423-1CBD-4205-8D9A-003E3DBA49A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Dataset_day1</vt:lpstr>
      <vt:lpstr>Dataset_day2</vt:lpstr>
      <vt:lpstr>Dataset_day3</vt:lpstr>
      <vt:lpstr>Dataset_day4</vt:lpstr>
      <vt:lpstr>Dataset_day5</vt:lpstr>
      <vt:lpstr>Feuil6</vt:lpstr>
      <vt:lpstr>Feuil5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Jevain Bkg</dc:creator>
  <cp:lastModifiedBy>Jevain Bkg</cp:lastModifiedBy>
  <dcterms:created xsi:type="dcterms:W3CDTF">2026-05-16T11:16:41Z</dcterms:created>
  <dcterms:modified xsi:type="dcterms:W3CDTF">2026-05-20T19:36:41Z</dcterms:modified>
</cp:coreProperties>
</file>