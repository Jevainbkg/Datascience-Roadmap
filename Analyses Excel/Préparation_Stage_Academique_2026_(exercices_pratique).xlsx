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vainBkg\Projets\Datascience-roadmap\Analyses Excel\"/>
    </mc:Choice>
  </mc:AlternateContent>
  <xr:revisionPtr revIDLastSave="0" documentId="13_ncr:1_{8E2A80A8-4FBA-40E7-80A4-40CE42A1091B}" xr6:coauthVersionLast="47" xr6:coauthVersionMax="47" xr10:uidLastSave="{00000000-0000-0000-0000-000000000000}"/>
  <bookViews>
    <workbookView xWindow="-120" yWindow="-120" windowWidth="24240" windowHeight="13740" xr2:uid="{7D3A7277-DCDC-4547-AB5A-331124B03413}"/>
  </bookViews>
  <sheets>
    <sheet name="Dataset_day1" sheetId="1" r:id="rId1"/>
    <sheet name="Dataset_day2" sheetId="5" r:id="rId2"/>
    <sheet name="Dataset_day3" sheetId="7" r:id="rId3"/>
    <sheet name="Dataset_day4" sheetId="11" r:id="rId4"/>
    <sheet name="Dataset_day5" sheetId="12" r:id="rId5"/>
    <sheet name="Feuil6" sheetId="8" r:id="rId6"/>
    <sheet name="Feuil5" sheetId="6" r:id="rId7"/>
  </sheets>
  <definedNames>
    <definedName name="DonnéesExternes_1" localSheetId="1" hidden="1">Dataset_day2!$B$2:$H$17</definedName>
    <definedName name="DonnéesExternes_1" localSheetId="2" hidden="1">Dataset_day3!$B$2:$H$17</definedName>
    <definedName name="DonnéesExternes_1" localSheetId="4" hidden="1">Dataset_day5!$B$2:$H$17</definedName>
  </definedNames>
  <calcPr calcId="191029"/>
  <pivotCaches>
    <pivotCache cacheId="36" r:id="rId8"/>
    <pivotCache cacheId="53" r:id="rId9"/>
    <pivotCache cacheId="63" r:id="rId10"/>
    <pivotCache cacheId="77" r:id="rId11"/>
    <pivotCache cacheId="8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0" i="11" l="1"/>
  <c r="AA7" i="11"/>
  <c r="AA5" i="11"/>
  <c r="AA4" i="11"/>
  <c r="AA8" i="11"/>
  <c r="AA9" i="11"/>
  <c r="AA11" i="11"/>
  <c r="AA6" i="11"/>
  <c r="N2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FA627-FFEE-45A1-AB9D-F710C53539EB}" keepAlive="1" name="Requête - Dataset_day2" description="Connexion à la requête « Dataset_day2 » dans le classeur." type="5" refreshedVersion="0" background="1">
    <dbPr connection="Provider=Microsoft.Mashup.OleDb.1;Data Source=$Workbook$;Location=Dataset_day2;Extended Properties=&quot;&quot;" command="SELECT * FROM [Dataset_day2]"/>
  </connection>
  <connection id="2" xr16:uid="{2C6A1902-82F7-4A5A-AFAF-7F0B3069FF2D}" keepAlive="1" name="Requête - Dataset_day2 (2)" description="Connexion à la requête « Dataset_day2 (2) » dans le classeur." type="5" refreshedVersion="8" background="1" saveData="1">
    <dbPr connection="Provider=Microsoft.Mashup.OleDb.1;Data Source=$Workbook$;Location=&quot;Dataset_day2 (2)&quot;;Extended Properties=&quot;&quot;" command="SELECT * FROM [Dataset_day2 (2)]"/>
  </connection>
  <connection id="3" xr16:uid="{099773F2-E526-4E34-AEA5-D1ED3079F0EF}" keepAlive="1" name="Requête - Dataset_day3" description="Connexion à la requête « Dataset_day3 » dans le classeur." type="5" refreshedVersion="8" background="1" saveData="1">
    <dbPr connection="Provider=Microsoft.Mashup.OleDb.1;Data Source=$Workbook$;Location=Dataset_day3;Extended Properties=&quot;&quot;" command="SELECT * FROM [Dataset_day3]"/>
  </connection>
  <connection id="4" xr16:uid="{D0D41E43-0F0A-48BE-B468-697C2262E146}" keepAlive="1" name="Requête - Dataset_day5" description="Connexion à la requête « Dataset_day5 » dans le classeur." type="5" refreshedVersion="8" background="1" saveData="1">
    <dbPr connection="Provider=Microsoft.Mashup.OleDb.1;Data Source=$Workbook$;Location=Dataset_day5;Extended Properties=&quot;&quot;" command="SELECT * FROM [Dataset_day5]"/>
  </connection>
</connections>
</file>

<file path=xl/sharedStrings.xml><?xml version="1.0" encoding="utf-8"?>
<sst xmlns="http://schemas.openxmlformats.org/spreadsheetml/2006/main" count="684" uniqueCount="190">
  <si>
    <t>transaction_id</t>
  </si>
  <si>
    <t>date</t>
  </si>
  <si>
    <t>client_id</t>
  </si>
  <si>
    <t>commune</t>
  </si>
  <si>
    <t>produit</t>
  </si>
  <si>
    <t>montant_fc</t>
  </si>
  <si>
    <t>canal</t>
  </si>
  <si>
    <t>T001</t>
  </si>
  <si>
    <t>C001</t>
  </si>
  <si>
    <t>Gombe</t>
  </si>
  <si>
    <t>Data 5GB</t>
  </si>
  <si>
    <t>Mobile Money</t>
  </si>
  <si>
    <t>T002</t>
  </si>
  <si>
    <t>C002</t>
  </si>
  <si>
    <t>Limete</t>
  </si>
  <si>
    <t>Voice</t>
  </si>
  <si>
    <t>USSD</t>
  </si>
  <si>
    <t>T003</t>
  </si>
  <si>
    <t>C003</t>
  </si>
  <si>
    <t>Matete</t>
  </si>
  <si>
    <t>Agent</t>
  </si>
  <si>
    <t>T004</t>
  </si>
  <si>
    <t>SMS</t>
  </si>
  <si>
    <t>T005</t>
  </si>
  <si>
    <t>C004</t>
  </si>
  <si>
    <t>Ndjili</t>
  </si>
  <si>
    <t>Data 10GB</t>
  </si>
  <si>
    <t>T006</t>
  </si>
  <si>
    <t>C005</t>
  </si>
  <si>
    <t>T007</t>
  </si>
  <si>
    <t>C006</t>
  </si>
  <si>
    <t>Masina</t>
  </si>
  <si>
    <t>T008</t>
  </si>
  <si>
    <t>T009</t>
  </si>
  <si>
    <t>C007</t>
  </si>
  <si>
    <t>T010</t>
  </si>
  <si>
    <t>C008</t>
  </si>
  <si>
    <t>CA</t>
  </si>
  <si>
    <t>Étiquettes de lignes</t>
  </si>
  <si>
    <t>Nombre de transaction_id</t>
  </si>
  <si>
    <t>Total général</t>
  </si>
  <si>
    <t>Somme de montant_fc</t>
  </si>
  <si>
    <t>Étiquettes de colonnes</t>
  </si>
  <si>
    <t>DATASET</t>
  </si>
  <si>
    <t>Calcul CA</t>
  </si>
  <si>
    <t xml:space="preserve">Best town seller </t>
  </si>
  <si>
    <t xml:space="preserve">Best product </t>
  </si>
  <si>
    <t>Best canal</t>
  </si>
  <si>
    <t>T011</t>
  </si>
  <si>
    <t>T012</t>
  </si>
  <si>
    <t>T013</t>
  </si>
  <si>
    <t>T014</t>
  </si>
  <si>
    <t>C009</t>
  </si>
  <si>
    <t>T015</t>
  </si>
  <si>
    <t>C010</t>
  </si>
  <si>
    <t>T016</t>
  </si>
  <si>
    <t>T017</t>
  </si>
  <si>
    <t>T018</t>
  </si>
  <si>
    <t>C011</t>
  </si>
  <si>
    <t>T019</t>
  </si>
  <si>
    <t>T020</t>
  </si>
  <si>
    <t>C012</t>
  </si>
  <si>
    <t>T021</t>
  </si>
  <si>
    <t>T022</t>
  </si>
  <si>
    <t>C013</t>
  </si>
  <si>
    <t>T023</t>
  </si>
  <si>
    <t>T024</t>
  </si>
  <si>
    <t>C014</t>
  </si>
  <si>
    <t>T025</t>
  </si>
  <si>
    <t>Total Nombre de transaction_id</t>
  </si>
  <si>
    <t>Total Somme de montant_fc</t>
  </si>
  <si>
    <t>Frequence par client</t>
  </si>
  <si>
    <t>Depense par client</t>
  </si>
  <si>
    <t>Canal preferé par client</t>
  </si>
  <si>
    <t>Clients</t>
  </si>
  <si>
    <t>Clients/canal</t>
  </si>
  <si>
    <t>Somme</t>
  </si>
  <si>
    <t>Moyenne</t>
  </si>
  <si>
    <t>Résultat cumulé</t>
  </si>
  <si>
    <t>Nombre</t>
  </si>
  <si>
    <t>Colonne1</t>
  </si>
  <si>
    <t>agent_id</t>
  </si>
  <si>
    <t>A001</t>
  </si>
  <si>
    <t>AG01</t>
  </si>
  <si>
    <t>C101</t>
  </si>
  <si>
    <t>A002</t>
  </si>
  <si>
    <t>AG02</t>
  </si>
  <si>
    <t>C102</t>
  </si>
  <si>
    <t>A003</t>
  </si>
  <si>
    <t>C103</t>
  </si>
  <si>
    <t>A004</t>
  </si>
  <si>
    <t>AG03</t>
  </si>
  <si>
    <t>C104</t>
  </si>
  <si>
    <t>A005</t>
  </si>
  <si>
    <t>AG04</t>
  </si>
  <si>
    <t>C105</t>
  </si>
  <si>
    <t>A006</t>
  </si>
  <si>
    <t>C106</t>
  </si>
  <si>
    <t>A007</t>
  </si>
  <si>
    <t>C107</t>
  </si>
  <si>
    <t>A008</t>
  </si>
  <si>
    <t>C108</t>
  </si>
  <si>
    <t>A009</t>
  </si>
  <si>
    <t>C109</t>
  </si>
  <si>
    <t>A010</t>
  </si>
  <si>
    <t>AG05</t>
  </si>
  <si>
    <t>C110</t>
  </si>
  <si>
    <t>A011</t>
  </si>
  <si>
    <t>C111</t>
  </si>
  <si>
    <t>A012</t>
  </si>
  <si>
    <t>C112</t>
  </si>
  <si>
    <t>A013</t>
  </si>
  <si>
    <t>C113</t>
  </si>
  <si>
    <t>A014</t>
  </si>
  <si>
    <t>C114</t>
  </si>
  <si>
    <t>A015</t>
  </si>
  <si>
    <t>C115</t>
  </si>
  <si>
    <t>Best agent</t>
  </si>
  <si>
    <t>Best zone</t>
  </si>
  <si>
    <t>F001</t>
  </si>
  <si>
    <t>C201</t>
  </si>
  <si>
    <t>F002</t>
  </si>
  <si>
    <t>C202</t>
  </si>
  <si>
    <t>F003</t>
  </si>
  <si>
    <t>C203</t>
  </si>
  <si>
    <t>F004</t>
  </si>
  <si>
    <t>F005</t>
  </si>
  <si>
    <t>C204</t>
  </si>
  <si>
    <t>F006</t>
  </si>
  <si>
    <t>C205</t>
  </si>
  <si>
    <t>F007</t>
  </si>
  <si>
    <t>F008</t>
  </si>
  <si>
    <t>F009</t>
  </si>
  <si>
    <t>C206</t>
  </si>
  <si>
    <t>F010</t>
  </si>
  <si>
    <t>F011</t>
  </si>
  <si>
    <t>F012</t>
  </si>
  <si>
    <t>C207</t>
  </si>
  <si>
    <t>F013</t>
  </si>
  <si>
    <t>F014</t>
  </si>
  <si>
    <t>C208</t>
  </si>
  <si>
    <t>F015</t>
  </si>
  <si>
    <t>Panier moyen</t>
  </si>
  <si>
    <t>periode</t>
  </si>
  <si>
    <t>P001</t>
  </si>
  <si>
    <t>Avant Promo</t>
  </si>
  <si>
    <t>P002</t>
  </si>
  <si>
    <t>P003</t>
  </si>
  <si>
    <t>P004</t>
  </si>
  <si>
    <t>P005</t>
  </si>
  <si>
    <t>Promo</t>
  </si>
  <si>
    <t>P006</t>
  </si>
  <si>
    <t>P007</t>
  </si>
  <si>
    <t>C209</t>
  </si>
  <si>
    <t>P008</t>
  </si>
  <si>
    <t>C210</t>
  </si>
  <si>
    <t>Kintambo</t>
  </si>
  <si>
    <t>P009</t>
  </si>
  <si>
    <t>P010</t>
  </si>
  <si>
    <t>C211</t>
  </si>
  <si>
    <t>Bandalungwa</t>
  </si>
  <si>
    <t>P011</t>
  </si>
  <si>
    <t>P012</t>
  </si>
  <si>
    <t>C212</t>
  </si>
  <si>
    <t>Ngaliema</t>
  </si>
  <si>
    <t>P013</t>
  </si>
  <si>
    <t>Après Promo</t>
  </si>
  <si>
    <t>P014</t>
  </si>
  <si>
    <t>P015</t>
  </si>
  <si>
    <t>C213</t>
  </si>
  <si>
    <t>Selembao</t>
  </si>
  <si>
    <t>Question 1</t>
  </si>
  <si>
    <t>Question 2</t>
  </si>
  <si>
    <t>Question 3</t>
  </si>
  <si>
    <t xml:space="preserve">Question 4 </t>
  </si>
  <si>
    <t>Question 5</t>
  </si>
  <si>
    <t>Periodes</t>
  </si>
  <si>
    <t xml:space="preserve">Debut de l'analyse </t>
  </si>
  <si>
    <t>Question 1 : Quel est le chiffre d’affaires total ?</t>
  </si>
  <si>
    <t>Question 2 : Quelle commune vend le plus ?</t>
  </si>
  <si>
    <t>Question 3  : Quel produit rapporte le plus ?</t>
  </si>
  <si>
    <t>Question 4  : Quel canal semble le plus utilisé ?</t>
  </si>
  <si>
    <t>N°</t>
  </si>
  <si>
    <t>Je recommande :</t>
  </si>
  <si>
    <t>1. Le lancement d’actions promotionnelles ciblées dans ces zones</t>
  </si>
  <si>
    <t>2. Une analyse terrain sur la disponibilité des agents et points de vente</t>
  </si>
  <si>
    <t>3. Une enquête client pour identifier d’éventuels freins (prix, couverture réseau, concurrence)</t>
  </si>
  <si>
    <t>4. Un renforcement de la visibilité locale via SMS promotionnels ou activations terrain</t>
  </si>
  <si>
    <t>Remarques et avis personnels :</t>
  </si>
  <si>
    <r>
      <t xml:space="preserve">Après analyse, j’observe que les communes de </t>
    </r>
    <r>
      <rPr>
        <b/>
        <sz val="12"/>
        <color theme="1"/>
        <rFont val="Aptos Display"/>
        <family val="2"/>
      </rPr>
      <t>Limete (9 000 FC), Masina (10 000 FC) et Matete (11 000 FC)</t>
    </r>
    <r>
      <rPr>
        <sz val="12"/>
        <color theme="1"/>
        <rFont val="Aptos Display"/>
        <family val="2"/>
      </rPr>
      <t xml:space="preserve"> présentent une performance inférieure à celle de la Gombe.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</si>
</sst>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C4C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4DD36D"/>
        <bgColor theme="9" tint="0.39997558519241921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NumberFormat="1" applyFill="1"/>
    <xf numFmtId="14" fontId="0" fillId="0" borderId="0" xfId="0" applyNumberFormat="1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0" fillId="5" borderId="0" xfId="0" applyNumberFormat="1" applyFill="1"/>
    <xf numFmtId="0" fontId="0" fillId="6" borderId="0" xfId="0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8" borderId="0" xfId="0" applyFill="1"/>
    <xf numFmtId="0" fontId="2" fillId="8" borderId="0" xfId="0" applyFont="1" applyFill="1"/>
    <xf numFmtId="0" fontId="0" fillId="9" borderId="0" xfId="0" applyNumberFormat="1" applyFill="1"/>
    <xf numFmtId="0" fontId="2" fillId="9" borderId="0" xfId="0" applyFont="1" applyFill="1" applyAlignment="1">
      <alignment horizontal="left"/>
    </xf>
    <xf numFmtId="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10" borderId="0" xfId="0" applyFill="1"/>
    <xf numFmtId="0" fontId="2" fillId="11" borderId="2" xfId="0" applyFont="1" applyFill="1" applyBorder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12" borderId="0" xfId="0" applyFill="1" applyAlignme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79998168889431442"/>
        </patternFill>
      </fill>
    </dxf>
    <dxf>
      <fill>
        <patternFill>
          <fgColor theme="9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rgb="FF4DD36D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79998168889431442"/>
        </patternFill>
      </fill>
    </dxf>
    <dxf>
      <fill>
        <patternFill>
          <fgColor theme="9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rgb="FF4DD36D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bgColor theme="9"/>
        </patternFill>
      </fill>
    </dxf>
    <dxf>
      <fill>
        <patternFill>
          <bgColor rgb="FF4DD36D"/>
        </patternFill>
      </fill>
    </dxf>
    <dxf>
      <fill>
        <patternFill>
          <bgColor theme="6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fgColor theme="9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bgColor theme="9" tint="0.79998168889431442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59999389629810485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general" vertical="bottom" textRotation="0" wrapText="1" indent="0" justifyLastLine="0" shrinkToFit="0" readingOrder="0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alignment wrapText="1"/>
    </dxf>
    <dxf>
      <alignment wrapText="1"/>
    </dxf>
    <dxf>
      <fill>
        <patternFill>
          <bgColor rgb="FFF2C4CB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9" formatCode="dd/mm/yyyy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bgColor theme="9" tint="0.399975585192419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0"/>
        </patternFill>
      </fill>
    </dxf>
    <dxf>
      <fill>
        <patternFill patternType="solid"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4DD36D"/>
      <color rgb="FFF2C4CB"/>
      <color rgb="FFF7A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 Bkg" refreshedDate="46158.521659143516" createdVersion="8" refreshedVersion="8" minRefreshableVersion="3" recordCount="10" xr:uid="{710D6794-99C5-492F-9A04-4D9695726E98}">
  <cacheSource type="worksheet">
    <worksheetSource name="Tableau1"/>
  </cacheSource>
  <cacheFields count="7">
    <cacheField name="transaction_id" numFmtId="0">
      <sharedItems count="10">
        <s v="T001"/>
        <s v="T002"/>
        <s v="T003"/>
        <s v="T004"/>
        <s v="T005"/>
        <s v="T006"/>
        <s v="T007"/>
        <s v="T008"/>
        <s v="T009"/>
        <s v="T010"/>
      </sharedItems>
    </cacheField>
    <cacheField name="date" numFmtId="14">
      <sharedItems containsSemiMixedTypes="0" containsNonDate="0" containsDate="1" containsString="0" minDate="2026-05-01T00:00:00" maxDate="2026-05-04T00:00:00" count="3">
        <d v="2026-05-01T00:00:00"/>
        <d v="2026-05-02T00:00:00"/>
        <d v="2026-05-03T00:00:00"/>
      </sharedItems>
    </cacheField>
    <cacheField name="client_id" numFmtId="0">
      <sharedItems/>
    </cacheField>
    <cacheField name="commune" numFmtId="0">
      <sharedItems count="5">
        <s v="Gombe"/>
        <s v="Limete"/>
        <s v="Matete"/>
        <s v="Ndjili"/>
        <s v="Masina"/>
      </sharedItems>
    </cacheField>
    <cacheField name="produit" numFmtId="0">
      <sharedItems count="4">
        <s v="Data 5GB"/>
        <s v="Voice"/>
        <s v="SMS"/>
        <s v="Data 10GB"/>
      </sharedItems>
    </cacheField>
    <cacheField name="montant_fc" numFmtId="0">
      <sharedItems containsSemiMixedTypes="0" containsString="0" containsNumber="1" containsInteger="1" minValue="1000" maxValue="18000" count="4">
        <n v="10000"/>
        <n v="3000"/>
        <n v="1000"/>
        <n v="18000"/>
      </sharedItems>
    </cacheField>
    <cacheField name="canal" numFmtId="0">
      <sharedItems count="3">
        <s v="Mobile Money"/>
        <s v="USSD"/>
        <s v="Ag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 Bkg" refreshedDate="46158.661696527779" createdVersion="8" refreshedVersion="8" minRefreshableVersion="3" recordCount="15" xr:uid="{2D34C118-97FB-4405-B3BC-E07CF50CB79E}">
  <cacheSource type="worksheet">
    <worksheetSource name="Dataset_day2__2"/>
  </cacheSource>
  <cacheFields count="7">
    <cacheField name="transaction_id" numFmtId="0">
      <sharedItems count="15"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</sharedItems>
    </cacheField>
    <cacheField name="date" numFmtId="14">
      <sharedItems containsSemiMixedTypes="0" containsNonDate="0" containsDate="1" containsString="0" minDate="2026-05-04T00:00:00" maxDate="2026-05-07T00:00:00" count="3">
        <d v="2026-05-04T00:00:00"/>
        <d v="2026-05-05T00:00:00"/>
        <d v="2026-05-06T00:00:00"/>
      </sharedItems>
    </cacheField>
    <cacheField name="client_id" numFmtId="0">
      <sharedItems count="8">
        <s v="C001"/>
        <s v="C002"/>
        <s v="C009"/>
        <s v="C010"/>
        <s v="C011"/>
        <s v="C012"/>
        <s v="C013"/>
        <s v="C014"/>
      </sharedItems>
    </cacheField>
    <cacheField name="commune" numFmtId="0">
      <sharedItems/>
    </cacheField>
    <cacheField name="produit" numFmtId="0">
      <sharedItems/>
    </cacheField>
    <cacheField name="montant_fc" numFmtId="0">
      <sharedItems containsSemiMixedTypes="0" containsString="0" containsNumber="1" containsInteger="1" minValue="1000" maxValue="18000"/>
    </cacheField>
    <cacheField name="canal" numFmtId="0">
      <sharedItems count="3">
        <s v="Mobile Money"/>
        <s v="USSD"/>
        <s v="Ag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 Bkg" refreshedDate="46158.940635185187" createdVersion="8" refreshedVersion="8" minRefreshableVersion="3" recordCount="15" xr:uid="{57E839B3-BF6A-413A-8D50-654B92772140}">
  <cacheSource type="worksheet">
    <worksheetSource name="Dataset_day3"/>
  </cacheSource>
  <cacheFields count="7">
    <cacheField name="transaction_id" numFmtId="0">
      <sharedItems/>
    </cacheField>
    <cacheField name="date" numFmtId="14">
      <sharedItems containsSemiMixedTypes="0" containsNonDate="0" containsDate="1" containsString="0" minDate="2026-05-07T00:00:00" maxDate="2026-05-10T00:00:00"/>
    </cacheField>
    <cacheField name="agent_id" numFmtId="0">
      <sharedItems count="5">
        <s v="AG01"/>
        <s v="AG02"/>
        <s v="AG03"/>
        <s v="AG04"/>
        <s v="AG05"/>
      </sharedItems>
    </cacheField>
    <cacheField name="client_id" numFmtId="0">
      <sharedItems/>
    </cacheField>
    <cacheField name="commune" numFmtId="0">
      <sharedItems count="5">
        <s v="Gombe"/>
        <s v="Limete"/>
        <s v="Masina"/>
        <s v="Ndjili"/>
        <s v="Matete"/>
      </sharedItems>
    </cacheField>
    <cacheField name="produit" numFmtId="0">
      <sharedItems count="4">
        <s v="Data 10GB"/>
        <s v="Voice"/>
        <s v="Data 5GB"/>
        <s v="SMS"/>
      </sharedItems>
    </cacheField>
    <cacheField name="montant_fc" numFmtId="0">
      <sharedItems containsSemiMixedTypes="0" containsString="0" containsNumber="1" containsInteger="1" minValue="10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 Bkg" refreshedDate="46159.033003819444" createdVersion="8" refreshedVersion="8" minRefreshableVersion="3" recordCount="15" xr:uid="{29286CAF-4DFA-4B3C-8B4D-D2E263CF1F65}">
  <cacheSource type="worksheet">
    <worksheetSource name="Dataset_day4"/>
  </cacheSource>
  <cacheFields count="6">
    <cacheField name="transaction_id" numFmtId="0">
      <sharedItems count="15">
        <s v="F001"/>
        <s v="F002"/>
        <s v="F003"/>
        <s v="F004"/>
        <s v="F005"/>
        <s v="F006"/>
        <s v="F007"/>
        <s v="F008"/>
        <s v="F009"/>
        <s v="F010"/>
        <s v="F011"/>
        <s v="F012"/>
        <s v="F013"/>
        <s v="F014"/>
        <s v="F015"/>
      </sharedItems>
    </cacheField>
    <cacheField name="date" numFmtId="14">
      <sharedItems containsSemiMixedTypes="0" containsNonDate="0" containsDate="1" containsString="0" minDate="2026-05-10T00:00:00" maxDate="2026-05-15T00:00:00"/>
    </cacheField>
    <cacheField name="client_id" numFmtId="0">
      <sharedItems count="8">
        <s v="C201"/>
        <s v="C202"/>
        <s v="C203"/>
        <s v="C204"/>
        <s v="C205"/>
        <s v="C206"/>
        <s v="C207"/>
        <s v="C208"/>
      </sharedItems>
    </cacheField>
    <cacheField name="commune" numFmtId="0">
      <sharedItems count="5">
        <s v="Gombe"/>
        <s v="Limete"/>
        <s v="Matete"/>
        <s v="Masina"/>
        <s v="Ndjili"/>
      </sharedItems>
    </cacheField>
    <cacheField name="produit" numFmtId="0">
      <sharedItems count="4">
        <s v="Data 10GB"/>
        <s v="Voice"/>
        <s v="Data 5GB"/>
        <s v="SMS"/>
      </sharedItems>
    </cacheField>
    <cacheField name="montant_fc" numFmtId="0">
      <sharedItems containsSemiMixedTypes="0" containsString="0" containsNumber="1" containsInteger="1" minValue="10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 Bkg" refreshedDate="46159.458596759257" createdVersion="8" refreshedVersion="8" minRefreshableVersion="3" recordCount="15" xr:uid="{448F32CB-8181-4F3D-AA10-29E389D0F4A5}">
  <cacheSource type="worksheet">
    <worksheetSource name="Dataset_day5"/>
  </cacheSource>
  <cacheFields count="7">
    <cacheField name="transaction_id" numFmtId="0">
      <sharedItems count="15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</sharedItems>
    </cacheField>
    <cacheField name="date" numFmtId="14">
      <sharedItems containsSemiMixedTypes="0" containsNonDate="0" containsDate="1" containsString="0" minDate="2026-05-15T00:00:00" maxDate="2026-05-19T00:00:00"/>
    </cacheField>
    <cacheField name="client_id" numFmtId="0">
      <sharedItems count="9">
        <s v="C201"/>
        <s v="C202"/>
        <s v="C203"/>
        <s v="C205"/>
        <s v="C209"/>
        <s v="C210"/>
        <s v="C211"/>
        <s v="C212"/>
        <s v="C213"/>
      </sharedItems>
    </cacheField>
    <cacheField name="commune" numFmtId="0">
      <sharedItems count="9">
        <s v="Gombe"/>
        <s v="Limete"/>
        <s v="Matete"/>
        <s v="Ndjili"/>
        <s v="Masina"/>
        <s v="Kintambo"/>
        <s v="Bandalungwa"/>
        <s v="Ngaliema"/>
        <s v="Selembao"/>
      </sharedItems>
    </cacheField>
    <cacheField name="produit" numFmtId="0">
      <sharedItems/>
    </cacheField>
    <cacheField name="montant_fc" numFmtId="0">
      <sharedItems containsSemiMixedTypes="0" containsString="0" containsNumber="1" containsInteger="1" minValue="3000" maxValue="18000"/>
    </cacheField>
    <cacheField name="periode" numFmtId="0">
      <sharedItems count="3">
        <s v="Avant Promo"/>
        <s v="Promo"/>
        <s v="Après Pro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C001"/>
    <x v="0"/>
    <x v="0"/>
    <x v="0"/>
    <x v="0"/>
  </r>
  <r>
    <x v="1"/>
    <x v="0"/>
    <s v="C002"/>
    <x v="1"/>
    <x v="1"/>
    <x v="1"/>
    <x v="1"/>
  </r>
  <r>
    <x v="2"/>
    <x v="0"/>
    <s v="C003"/>
    <x v="2"/>
    <x v="0"/>
    <x v="0"/>
    <x v="2"/>
  </r>
  <r>
    <x v="3"/>
    <x v="1"/>
    <s v="C001"/>
    <x v="0"/>
    <x v="2"/>
    <x v="2"/>
    <x v="0"/>
  </r>
  <r>
    <x v="4"/>
    <x v="1"/>
    <s v="C004"/>
    <x v="3"/>
    <x v="3"/>
    <x v="3"/>
    <x v="2"/>
  </r>
  <r>
    <x v="5"/>
    <x v="1"/>
    <s v="C005"/>
    <x v="1"/>
    <x v="1"/>
    <x v="1"/>
    <x v="1"/>
  </r>
  <r>
    <x v="6"/>
    <x v="2"/>
    <s v="C006"/>
    <x v="4"/>
    <x v="0"/>
    <x v="0"/>
    <x v="2"/>
  </r>
  <r>
    <x v="7"/>
    <x v="2"/>
    <s v="C002"/>
    <x v="1"/>
    <x v="1"/>
    <x v="1"/>
    <x v="1"/>
  </r>
  <r>
    <x v="8"/>
    <x v="2"/>
    <s v="C007"/>
    <x v="0"/>
    <x v="3"/>
    <x v="3"/>
    <x v="0"/>
  </r>
  <r>
    <x v="9"/>
    <x v="2"/>
    <s v="C008"/>
    <x v="2"/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s v="Gombe"/>
    <s v="Data 10GB"/>
    <n v="18000"/>
    <x v="0"/>
  </r>
  <r>
    <x v="1"/>
    <x v="0"/>
    <x v="1"/>
    <s v="Limete"/>
    <s v="Voice"/>
    <n v="3000"/>
    <x v="1"/>
  </r>
  <r>
    <x v="2"/>
    <x v="0"/>
    <x v="0"/>
    <s v="Gombe"/>
    <s v="Data 5GB"/>
    <n v="10000"/>
    <x v="0"/>
  </r>
  <r>
    <x v="3"/>
    <x v="0"/>
    <x v="2"/>
    <s v="Matete"/>
    <s v="SMS"/>
    <n v="1000"/>
    <x v="2"/>
  </r>
  <r>
    <x v="4"/>
    <x v="0"/>
    <x v="3"/>
    <s v="Masina"/>
    <s v="Data 10GB"/>
    <n v="18000"/>
    <x v="2"/>
  </r>
  <r>
    <x v="5"/>
    <x v="1"/>
    <x v="0"/>
    <s v="Gombe"/>
    <s v="Data 10GB"/>
    <n v="18000"/>
    <x v="0"/>
  </r>
  <r>
    <x v="6"/>
    <x v="1"/>
    <x v="1"/>
    <s v="Limete"/>
    <s v="Voice"/>
    <n v="3000"/>
    <x v="1"/>
  </r>
  <r>
    <x v="7"/>
    <x v="1"/>
    <x v="4"/>
    <s v="Ndjili"/>
    <s v="Data 5GB"/>
    <n v="10000"/>
    <x v="2"/>
  </r>
  <r>
    <x v="8"/>
    <x v="1"/>
    <x v="0"/>
    <s v="Gombe"/>
    <s v="Data 10GB"/>
    <n v="18000"/>
    <x v="0"/>
  </r>
  <r>
    <x v="9"/>
    <x v="1"/>
    <x v="5"/>
    <s v="Gombe"/>
    <s v="SMS"/>
    <n v="1000"/>
    <x v="0"/>
  </r>
  <r>
    <x v="10"/>
    <x v="1"/>
    <x v="0"/>
    <s v="Gombe"/>
    <s v="Data 10GB"/>
    <n v="18000"/>
    <x v="0"/>
  </r>
  <r>
    <x v="11"/>
    <x v="1"/>
    <x v="6"/>
    <s v="Masina"/>
    <s v="Voice"/>
    <n v="3000"/>
    <x v="1"/>
  </r>
  <r>
    <x v="12"/>
    <x v="1"/>
    <x v="0"/>
    <s v="Gombe"/>
    <s v="Data 5GB"/>
    <n v="10000"/>
    <x v="0"/>
  </r>
  <r>
    <x v="13"/>
    <x v="2"/>
    <x v="7"/>
    <s v="Matete"/>
    <s v="Data 10GB"/>
    <n v="18000"/>
    <x v="2"/>
  </r>
  <r>
    <x v="14"/>
    <x v="2"/>
    <x v="0"/>
    <s v="Gombe"/>
    <s v="Data 10GB"/>
    <n v="180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A001"/>
    <d v="2026-05-07T00:00:00"/>
    <x v="0"/>
    <s v="C101"/>
    <x v="0"/>
    <x v="0"/>
    <n v="18000"/>
  </r>
  <r>
    <s v="A002"/>
    <d v="2026-05-07T00:00:00"/>
    <x v="1"/>
    <s v="C102"/>
    <x v="1"/>
    <x v="1"/>
    <n v="3000"/>
  </r>
  <r>
    <s v="A003"/>
    <d v="2026-05-07T00:00:00"/>
    <x v="0"/>
    <s v="C103"/>
    <x v="0"/>
    <x v="2"/>
    <n v="10000"/>
  </r>
  <r>
    <s v="A004"/>
    <d v="2026-05-07T00:00:00"/>
    <x v="2"/>
    <s v="C104"/>
    <x v="2"/>
    <x v="3"/>
    <n v="1000"/>
  </r>
  <r>
    <s v="A005"/>
    <d v="2026-05-07T00:00:00"/>
    <x v="3"/>
    <s v="C105"/>
    <x v="3"/>
    <x v="0"/>
    <n v="18000"/>
  </r>
  <r>
    <s v="A006"/>
    <d v="2026-05-08T00:00:00"/>
    <x v="0"/>
    <s v="C106"/>
    <x v="0"/>
    <x v="0"/>
    <n v="18000"/>
  </r>
  <r>
    <s v="A007"/>
    <d v="2026-05-08T00:00:00"/>
    <x v="1"/>
    <s v="C107"/>
    <x v="1"/>
    <x v="1"/>
    <n v="3000"/>
  </r>
  <r>
    <s v="A008"/>
    <d v="2026-05-08T00:00:00"/>
    <x v="2"/>
    <s v="C108"/>
    <x v="2"/>
    <x v="3"/>
    <n v="1000"/>
  </r>
  <r>
    <s v="A009"/>
    <d v="2026-05-08T00:00:00"/>
    <x v="0"/>
    <s v="C109"/>
    <x v="0"/>
    <x v="0"/>
    <n v="18000"/>
  </r>
  <r>
    <s v="A010"/>
    <d v="2026-05-08T00:00:00"/>
    <x v="4"/>
    <s v="C110"/>
    <x v="4"/>
    <x v="2"/>
    <n v="10000"/>
  </r>
  <r>
    <s v="A011"/>
    <d v="2026-05-09T00:00:00"/>
    <x v="0"/>
    <s v="C111"/>
    <x v="0"/>
    <x v="0"/>
    <n v="18000"/>
  </r>
  <r>
    <s v="A012"/>
    <d v="2026-05-09T00:00:00"/>
    <x v="1"/>
    <s v="C112"/>
    <x v="1"/>
    <x v="1"/>
    <n v="3000"/>
  </r>
  <r>
    <s v="A013"/>
    <d v="2026-05-09T00:00:00"/>
    <x v="2"/>
    <s v="C113"/>
    <x v="2"/>
    <x v="3"/>
    <n v="1000"/>
  </r>
  <r>
    <s v="A014"/>
    <d v="2026-05-09T00:00:00"/>
    <x v="3"/>
    <s v="C114"/>
    <x v="3"/>
    <x v="0"/>
    <n v="18000"/>
  </r>
  <r>
    <s v="A015"/>
    <d v="2026-05-09T00:00:00"/>
    <x v="4"/>
    <s v="C115"/>
    <x v="4"/>
    <x v="2"/>
    <n v="1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6-05-10T00:00:00"/>
    <x v="0"/>
    <x v="0"/>
    <x v="0"/>
    <n v="18000"/>
  </r>
  <r>
    <x v="1"/>
    <d v="2026-05-10T00:00:00"/>
    <x v="1"/>
    <x v="1"/>
    <x v="1"/>
    <n v="3000"/>
  </r>
  <r>
    <x v="2"/>
    <d v="2026-05-10T00:00:00"/>
    <x v="2"/>
    <x v="2"/>
    <x v="2"/>
    <n v="10000"/>
  </r>
  <r>
    <x v="3"/>
    <d v="2026-05-11T00:00:00"/>
    <x v="0"/>
    <x v="0"/>
    <x v="0"/>
    <n v="18000"/>
  </r>
  <r>
    <x v="4"/>
    <d v="2026-05-11T00:00:00"/>
    <x v="3"/>
    <x v="3"/>
    <x v="3"/>
    <n v="1000"/>
  </r>
  <r>
    <x v="5"/>
    <d v="2026-05-11T00:00:00"/>
    <x v="4"/>
    <x v="4"/>
    <x v="0"/>
    <n v="18000"/>
  </r>
  <r>
    <x v="6"/>
    <d v="2026-05-12T00:00:00"/>
    <x v="0"/>
    <x v="0"/>
    <x v="2"/>
    <n v="10000"/>
  </r>
  <r>
    <x v="7"/>
    <d v="2026-05-12T00:00:00"/>
    <x v="1"/>
    <x v="1"/>
    <x v="1"/>
    <n v="3000"/>
  </r>
  <r>
    <x v="8"/>
    <d v="2026-05-12T00:00:00"/>
    <x v="5"/>
    <x v="0"/>
    <x v="3"/>
    <n v="1000"/>
  </r>
  <r>
    <x v="9"/>
    <d v="2026-05-13T00:00:00"/>
    <x v="0"/>
    <x v="0"/>
    <x v="0"/>
    <n v="18000"/>
  </r>
  <r>
    <x v="10"/>
    <d v="2026-05-13T00:00:00"/>
    <x v="2"/>
    <x v="2"/>
    <x v="2"/>
    <n v="10000"/>
  </r>
  <r>
    <x v="11"/>
    <d v="2026-05-13T00:00:00"/>
    <x v="6"/>
    <x v="3"/>
    <x v="1"/>
    <n v="3000"/>
  </r>
  <r>
    <x v="12"/>
    <d v="2026-05-14T00:00:00"/>
    <x v="0"/>
    <x v="0"/>
    <x v="0"/>
    <n v="18000"/>
  </r>
  <r>
    <x v="13"/>
    <d v="2026-05-14T00:00:00"/>
    <x v="7"/>
    <x v="4"/>
    <x v="0"/>
    <n v="18000"/>
  </r>
  <r>
    <x v="14"/>
    <d v="2026-05-14T00:00:00"/>
    <x v="1"/>
    <x v="1"/>
    <x v="1"/>
    <n v="3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6-05-15T00:00:00"/>
    <x v="0"/>
    <x v="0"/>
    <s v="Data 10GB"/>
    <n v="18000"/>
    <x v="0"/>
  </r>
  <r>
    <x v="1"/>
    <d v="2026-05-15T00:00:00"/>
    <x v="1"/>
    <x v="1"/>
    <s v="Voice"/>
    <n v="3000"/>
    <x v="0"/>
  </r>
  <r>
    <x v="2"/>
    <d v="2026-05-15T00:00:00"/>
    <x v="2"/>
    <x v="2"/>
    <s v="Data 5GB"/>
    <n v="10000"/>
    <x v="0"/>
  </r>
  <r>
    <x v="3"/>
    <d v="2026-05-15T00:00:00"/>
    <x v="3"/>
    <x v="3"/>
    <s v="Data 10GB"/>
    <n v="18000"/>
    <x v="0"/>
  </r>
  <r>
    <x v="4"/>
    <d v="2026-05-16T00:00:00"/>
    <x v="0"/>
    <x v="0"/>
    <s v="Data 10GB"/>
    <n v="12600"/>
    <x v="1"/>
  </r>
  <r>
    <x v="5"/>
    <d v="2026-05-16T00:00:00"/>
    <x v="1"/>
    <x v="1"/>
    <s v="Voice"/>
    <n v="3000"/>
    <x v="1"/>
  </r>
  <r>
    <x v="6"/>
    <d v="2026-05-16T00:00:00"/>
    <x v="4"/>
    <x v="4"/>
    <s v="Data 10GB"/>
    <n v="12600"/>
    <x v="1"/>
  </r>
  <r>
    <x v="7"/>
    <d v="2026-05-16T00:00:00"/>
    <x v="5"/>
    <x v="5"/>
    <s v="Data 10GB"/>
    <n v="12600"/>
    <x v="1"/>
  </r>
  <r>
    <x v="8"/>
    <d v="2026-05-17T00:00:00"/>
    <x v="0"/>
    <x v="0"/>
    <s v="Data 10GB"/>
    <n v="12600"/>
    <x v="1"/>
  </r>
  <r>
    <x v="9"/>
    <d v="2026-05-17T00:00:00"/>
    <x v="6"/>
    <x v="6"/>
    <s v="Data 10GB"/>
    <n v="12600"/>
    <x v="1"/>
  </r>
  <r>
    <x v="10"/>
    <d v="2026-05-17T00:00:00"/>
    <x v="2"/>
    <x v="2"/>
    <s v="Data 5GB"/>
    <n v="10000"/>
    <x v="1"/>
  </r>
  <r>
    <x v="11"/>
    <d v="2026-05-17T00:00:00"/>
    <x v="7"/>
    <x v="7"/>
    <s v="Data 10GB"/>
    <n v="12600"/>
    <x v="1"/>
  </r>
  <r>
    <x v="12"/>
    <d v="2026-05-18T00:00:00"/>
    <x v="0"/>
    <x v="0"/>
    <s v="Data 10GB"/>
    <n v="18000"/>
    <x v="2"/>
  </r>
  <r>
    <x v="13"/>
    <d v="2026-05-18T00:00:00"/>
    <x v="1"/>
    <x v="1"/>
    <s v="Voice"/>
    <n v="3000"/>
    <x v="2"/>
  </r>
  <r>
    <x v="14"/>
    <d v="2026-05-18T00:00:00"/>
    <x v="8"/>
    <x v="8"/>
    <s v="Data 10GB"/>
    <n v="18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4A5AA-7939-49B7-A6DD-E9354366584E}" name="Tableau croisé dynamique11" cacheId="3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53:C57" firstHeaderRow="1" firstDataRow="1" firstDataCol="1"/>
  <pivotFields count="7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transaction_id" fld="0" subtotal="count" baseField="0" baseItem="0"/>
  </dataFields>
  <formats count="2">
    <format dxfId="148">
      <pivotArea collapsedLevelsAreSubtotals="1" fieldPosition="0">
        <references count="1">
          <reference field="6" count="1">
            <x v="0"/>
          </reference>
        </references>
      </pivotArea>
    </format>
    <format dxfId="147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20E65-FA27-4856-B341-2B171A7E7366}" name="Tableau croisé dynamique10" cacheId="3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43:C48" firstHeaderRow="1" firstDataRow="1" firstDataCol="1"/>
  <pivotFields count="7">
    <pivotField showAll="0"/>
    <pivotField numFmtId="14"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omme de montant_fc" fld="5" baseField="0" baseItem="0"/>
  </dataFields>
  <formats count="2">
    <format dxfId="150">
      <pivotArea collapsedLevelsAreSubtotals="1" fieldPosition="0">
        <references count="1">
          <reference field="4" count="1">
            <x v="0"/>
          </reference>
        </references>
      </pivotArea>
    </format>
    <format dxfId="149">
      <pivotArea dataOnly="0" labelOnly="1" fieldPosition="0">
        <references count="1">
          <reference field="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9F5AA-4386-45E5-9C54-88F4AB4B8C8B}" name="Tableau croisé dynamique8" cacheId="3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1:C37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dataField="1" showAll="0" sumSubtotal="1">
      <items count="5">
        <item x="2"/>
        <item x="1"/>
        <item x="0"/>
        <item x="3"/>
        <item t="sum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montant_fc" fld="5" baseField="0" baseItem="0"/>
  </dataFields>
  <formats count="6">
    <format dxfId="152">
      <pivotArea collapsedLevelsAreSubtotals="1" fieldPosition="0">
        <references count="1">
          <reference field="3" count="1">
            <x v="0"/>
          </reference>
        </references>
      </pivotArea>
    </format>
    <format dxfId="151">
      <pivotArea dataOnly="0" labelOnly="1" fieldPosition="0">
        <references count="1">
          <reference field="3" count="1">
            <x v="0"/>
          </reference>
        </references>
      </pivotArea>
    </format>
    <format dxfId="34">
      <pivotArea dataOnly="0" labelOnly="1" fieldPosition="0">
        <references count="1">
          <reference field="3" count="1">
            <x v="0"/>
          </reference>
        </references>
      </pivotArea>
    </format>
    <format dxfId="33">
      <pivotArea dataOnly="0" labelOnly="1" fieldPosition="0">
        <references count="1">
          <reference field="3" count="1">
            <x v="0"/>
          </reference>
        </references>
      </pivotArea>
    </format>
    <format dxfId="32">
      <pivotArea collapsedLevelsAreSubtotals="1" fieldPosition="0">
        <references count="1">
          <reference field="3" count="1">
            <x v="0"/>
          </reference>
        </references>
      </pivotArea>
    </format>
    <format dxfId="29">
      <pivotArea dataOnly="0" labelOnly="1" fieldPosition="0">
        <references count="1">
          <reference field="3" count="1">
            <x v="0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2621D-595A-4AC1-AE02-1074C41FD4EA}" name="Tableau croisé dynamique7" cacheId="36" applyNumberFormats="0" applyBorderFormats="0" applyFontFormats="0" applyPatternFormats="0" applyAlignmentFormats="0" applyWidthHeightFormats="1" dataCaption="Valeurs" grandTotalCaption="CA" updatedVersion="8" minRefreshableVersion="3" useAutoFormatting="1" itemPrintTitles="1" createdVersion="8" indent="0" outline="1" outlineData="1" multipleFieldFilters="0">
  <location ref="B20:C24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numFmtId="14" showAll="0">
      <items count="4">
        <item x="0"/>
        <item x="1"/>
        <item x="2"/>
        <item t="default"/>
      </items>
    </pivotField>
    <pivotField showAll="0"/>
    <pivotField showAll="0">
      <items count="6">
        <item x="0"/>
        <item x="1"/>
        <item x="4"/>
        <item x="2"/>
        <item x="3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_fc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774D1-06E3-4866-B6C8-A311F7479B8C}" name="Tableau croisé dynamique25" cacheId="5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20:T26" firstHeaderRow="1" firstDataRow="3" firstDataCol="1"/>
  <pivotFields count="7">
    <pivotField dataField="1" showAll="0"/>
    <pivotField axis="axisRow" numFmtId="14" showAll="0">
      <items count="4">
        <item x="0"/>
        <item x="1"/>
        <item x="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1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 t="grand">
      <x/>
    </i>
    <i t="grand" i="1">
      <x/>
    </i>
  </colItems>
  <dataFields count="2">
    <dataField name="Nombre de transaction_id" fld="0" subtotal="count" baseField="0" baseItem="0"/>
    <dataField name="Somme de montant_fc" fld="5" baseField="0" baseItem="0"/>
  </dataFields>
  <formats count="17">
    <format dxfId="121">
      <pivotArea collapsedLevelsAreSubtotals="1" fieldPosition="0">
        <references count="2">
          <reference field="1" count="2">
            <x v="0"/>
            <x v="1"/>
          </reference>
          <reference field="2" count="1" selected="0">
            <x v="0"/>
          </reference>
        </references>
      </pivotArea>
    </format>
    <format dxfId="122">
      <pivotArea field="1" type="button" dataOnly="0" labelOnly="1" outline="0" axis="axisRow" fieldPosition="0"/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2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12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12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12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12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13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131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2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3">
      <pivotArea field="2" type="button" dataOnly="0" labelOnly="1" outline="0" axis="axisCol" fieldPosition="0"/>
    </format>
    <format dxfId="134">
      <pivotArea collapsedLevelsAreSubtotals="1" fieldPosition="0">
        <references count="3">
          <reference field="4294967294" count="2" selected="0">
            <x v="0"/>
            <x v="1"/>
          </reference>
          <reference field="1" count="2">
            <x v="0"/>
            <x v="1"/>
          </reference>
          <reference field="2" count="1" selected="0">
            <x v="0"/>
          </reference>
        </references>
      </pivotArea>
    </format>
    <format dxfId="135">
      <pivotArea dataOnly="0" labelOnly="1" offset="A256" fieldPosition="0">
        <references count="1">
          <reference field="2" count="1">
            <x v="0"/>
          </reference>
        </references>
      </pivotArea>
    </format>
    <format dxfId="136">
      <pivotArea collapsedLevelsAreSubtotals="1" fieldPosition="0">
        <references count="3">
          <reference field="4294967294" count="1" selected="0">
            <x v="0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37">
      <pivotArea collapsedLevelsAreSubtotals="1" fieldPosition="0">
        <references count="3">
          <reference field="4294967294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AB932-5DD7-4CAF-BF0A-30F67C3B60D8}" name="Tableau croisé dynamique17" cacheId="5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ients/canal">
  <location ref="J7:N17" firstHeaderRow="1" firstDataRow="2" firstDataCol="1"/>
  <pivotFields count="7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anal preferé par client" fld="0" subtotal="count" baseField="0" baseItem="0"/>
  </dataFields>
  <formats count="3">
    <format dxfId="140">
      <pivotArea field="2" type="button" dataOnly="0" labelOnly="1" outline="0" axis="axisRow" fieldPosition="0"/>
    </format>
    <format dxfId="139">
      <pivotArea dataOnly="0" labelOnly="1" fieldPosition="0">
        <references count="1">
          <reference field="6" count="0"/>
        </references>
      </pivotArea>
    </format>
    <format dxfId="13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EDBCB-2740-4BFE-81A8-879F344A3DF7}" name="Tableau croisé dynamique16" cacheId="5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ients">
  <location ref="P8:R17" firstHeaderRow="0" firstDataRow="1" firstDataCol="1"/>
  <pivotFields count="7">
    <pivotField dataField="1"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e par client" fld="0" subtotal="count" baseField="2" baseItem="0"/>
    <dataField name="Depense par client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3D1A4-0B77-482E-9D3E-CEB1DCD7B445}" name="Tableau croisé dynamique28" cacheId="6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11:P17" firstHeaderRow="1" firstDataRow="2" firstDataCol="1"/>
  <pivotFields count="7">
    <pivotField showAll="0"/>
    <pivotField numFmtId="14" showAll="0"/>
    <pivotField showAll="0"/>
    <pivotField showAll="0"/>
    <pivotField axis="axisCol" showAll="0">
      <items count="6">
        <item x="0"/>
        <item x="1"/>
        <item x="2"/>
        <item x="4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montant_fc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4ABC1-CC07-43AE-8AC6-404199804ABF}" name="Tableau croisé dynamique27" cacheId="6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N3:P9" firstHeaderRow="0" firstDataRow="1" firstDataCol="1"/>
  <pivotFields count="7">
    <pivotField dataField="1" showAll="0"/>
    <pivotField numFmtId="14" showAll="0"/>
    <pivotField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</pivotFields>
  <rowFields count="1">
    <field x="4"/>
  </rowFields>
  <rowItems count="6">
    <i>
      <x/>
    </i>
    <i>
      <x v="4"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transaction_id" fld="0" subtotal="count" baseField="0" baseItem="0"/>
    <dataField name="Somme de montant_fc" fld="6" baseField="0" baseItem="0"/>
  </dataFields>
  <formats count="2">
    <format dxfId="114">
      <pivotArea field="4" type="button" dataOnly="0" labelOnly="1" outline="0" axis="axisRow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B8F9E-FB0D-490A-8AEA-204AC7739D25}" name="Tableau croisé dynamique26" cacheId="6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3:L9" firstHeaderRow="0" firstDataRow="1" firstDataCol="1"/>
  <pivotFields count="7">
    <pivotField dataField="1" showAll="0"/>
    <pivotField numFmtId="14"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3"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transaction_id" fld="0" subtotal="count" baseField="0" baseItem="0"/>
    <dataField name="Somme de montant_fc" fld="6" baseField="0" baseItem="0"/>
  </dataFields>
  <formats count="5">
    <format dxfId="112">
      <pivotArea field="2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dataOnly="0" labelOnly="1" fieldPosition="0">
        <references count="1">
          <reference field="2" count="2">
            <x v="1"/>
            <x v="2"/>
          </reference>
        </references>
      </pivotArea>
    </format>
    <format dxfId="108">
      <pivotArea dataOnly="0" labelOnly="1" fieldPosition="0">
        <references count="1">
          <reference field="2" count="2">
            <x v="1"/>
            <x v="2"/>
          </reference>
        </references>
      </pivotArea>
    </format>
    <format dxfId="107">
      <pivotArea dataOnly="0" labelOnly="1" fieldPosition="0">
        <references count="1">
          <reference field="2" count="2">
            <x v="1"/>
            <x v="2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F1115-1B87-4153-A189-EC270D369D56}" name="Tableau croisé dynamique35" cacheId="7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2:Y12" firstHeaderRow="1" firstDataRow="2" firstDataCol="1"/>
  <pivotFields count="6"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omme de montant_fc" fld="5" baseField="0" baseItem="0"/>
  </dataFields>
  <formats count="2">
    <format dxfId="94">
      <pivotArea field="2" type="button" dataOnly="0" labelOnly="1" outline="0" axis="axisRow" fieldPosition="0"/>
    </format>
    <format dxfId="9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2CD07-335D-47F6-B7D4-64AD9F8422C1}" name="Tableau croisé dynamique34" cacheId="7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20:I25" firstHeaderRow="1" firstDataRow="1" firstDataCol="1"/>
  <pivotFields count="6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transaction_id" fld="0" subtotal="count" baseField="0" baseItem="0"/>
  </dataFields>
  <formats count="3">
    <format dxfId="99">
      <pivotArea field="4" type="button" dataOnly="0" labelOnly="1" outline="0" axis="axisRow" fieldPosition="0"/>
    </format>
    <format dxfId="98">
      <pivotArea dataOnly="0" labelOnly="1" outline="0" axis="axisValues" fieldPosition="0"/>
    </format>
    <format dxfId="97">
      <pivotArea collapsedLevelsAreSubtotals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2755-1450-4078-8441-200639987E8B}" name="Tableau croisé dynamique33" cacheId="7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20:F26" firstHeaderRow="1" firstDataRow="1" firstDataCol="1"/>
  <pivotFields count="6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transaction_id" fld="0" subtotal="count" baseField="0" baseItem="0"/>
  </dataFields>
  <formats count="2">
    <format dxfId="106">
      <pivotArea field="3" type="button" dataOnly="0" labelOnly="1" outline="0" axis="axisRow" fieldPosition="0"/>
    </format>
    <format dxfId="105">
      <pivotArea dataOnly="0" labelOnly="1" outline="0" axis="axisValues" fieldPosition="0"/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C07AA-ACC0-49E5-BC9B-2B10D6352CD6}" name="Tableau croisé dynamique32" cacheId="7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20:C29" firstHeaderRow="1" firstDataRow="1" firstDataCol="1"/>
  <pivotFields count="6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ombre de transaction_id" fld="0" subtotal="count" baseField="0" baseItem="0"/>
  </dataFields>
  <formats count="2">
    <format dxfId="95">
      <pivotArea field="2" type="button" dataOnly="0" labelOnly="1" outline="0" axis="axisRow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8B158-EB77-4324-A140-92124BCC4586}" name="Tableau croisé dynamique39" cacheId="8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Periodes">
  <location ref="M19:AG25" firstHeaderRow="1" firstDataRow="3" firstDataCol="1"/>
  <pivotFields count="7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0">
        <item x="6"/>
        <item x="0"/>
        <item x="5"/>
        <item x="1"/>
        <item x="4"/>
        <item x="2"/>
        <item x="3"/>
        <item x="7"/>
        <item x="8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2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dataFields count="2">
    <dataField name="Somme de montant_fc" fld="5" baseField="0" baseItem="0"/>
    <dataField name="Nombre de transaction_id" fld="0" subtotal="count" baseField="0" baseItem="0"/>
  </dataFields>
  <formats count="24">
    <format dxfId="78">
      <pivotArea dataOnly="0" labelOnly="1" outline="0" axis="axisValues" fieldPosition="0"/>
    </format>
    <format dxfId="73">
      <pivotArea type="origin" dataOnly="0" labelOnly="1" outline="0" fieldPosition="0"/>
    </format>
    <format dxfId="72">
      <pivotArea field="2" type="button" dataOnly="0" labelOnly="1" outline="0" axis="axisCol" fieldPosition="0"/>
    </format>
    <format dxfId="71">
      <pivotArea type="topRight" dataOnly="0" labelOnly="1" outline="0" fieldPosition="0"/>
    </format>
    <format dxfId="70">
      <pivotArea collapsedLevelsAreSubtotals="1" fieldPosition="0">
        <references count="1">
          <reference field="6" count="0"/>
        </references>
      </pivotArea>
    </format>
    <format dxfId="69">
      <pivotArea field="6" type="button" dataOnly="0" labelOnly="1" outline="0" axis="axisRow" fieldPosition="0"/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5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1"/>
          </reference>
        </references>
      </pivotArea>
    </format>
    <format dxfId="53">
      <pivotArea dataOnly="0" labelOnly="1" fieldPosition="0">
        <references count="1">
          <reference field="2" count="1">
            <x v="0"/>
          </reference>
        </references>
      </pivotArea>
    </format>
    <format dxfId="52">
      <pivotArea dataOnly="0" labelOnly="1" fieldPosition="0">
        <references count="1">
          <reference field="2" count="1">
            <x v="1"/>
          </reference>
        </references>
      </pivotArea>
    </format>
    <format dxfId="51">
      <pivotArea dataOnly="0" labelOnly="1" fieldPosition="0">
        <references count="1">
          <reference field="2" count="7">
            <x v="2"/>
            <x v="3"/>
            <x v="4"/>
            <x v="5"/>
            <x v="6"/>
            <x v="7"/>
            <x v="8"/>
          </reference>
        </references>
      </pivotArea>
    </format>
    <format dxfId="50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0"/>
        </references>
      </pivotArea>
    </format>
    <format dxfId="4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6" count="0"/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725E5-E44B-4C51-9E5D-DFB5B7840FB2}" name="Tableau croisé dynamique38" cacheId="8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Periodes">
  <location ref="J21:K25" firstHeaderRow="1" firstDataRow="1" firstDataCol="1"/>
  <pivotFields count="7">
    <pivotField showAll="0"/>
    <pivotField numFmtId="14"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0">
        <item x="6"/>
        <item x="0"/>
        <item x="5"/>
        <item x="1"/>
        <item x="4"/>
        <item x="2"/>
        <item x="3"/>
        <item x="7"/>
        <item x="8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" fld="5" baseField="6" baseItem="0"/>
  </dataFields>
  <formats count="2">
    <format dxfId="59">
      <pivotArea field="6" type="button" dataOnly="0" labelOnly="1" outline="0" axis="axisRow" fieldPosition="0"/>
    </format>
    <format dxfId="58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7745C-4696-420B-92A1-AB6748DDECE4}" name="Tableau croisé dynamique37" cacheId="8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Periodes">
  <location ref="J12:T17" firstHeaderRow="1" firstDataRow="2" firstDataCol="1"/>
  <pivotFields count="7">
    <pivotField dataField="1" showAll="0"/>
    <pivotField numFmtId="14"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10">
        <item x="6"/>
        <item x="0"/>
        <item x="5"/>
        <item x="1"/>
        <item x="4"/>
        <item x="2"/>
        <item x="3"/>
        <item x="7"/>
        <item x="8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Nombre de transaction_id" fld="0" subtotal="count" baseField="0" baseItem="0"/>
  </dataFields>
  <formats count="8">
    <format dxfId="82">
      <pivotArea collapsedLevelsAreSubtotals="1" fieldPosition="0">
        <references count="2">
          <reference field="3" count="1" selected="0">
            <x v="7"/>
          </reference>
          <reference field="6" count="1">
            <x v="1"/>
          </reference>
        </references>
      </pivotArea>
    </format>
    <format dxfId="81">
      <pivotArea collapsedLevelsAreSubtotals="1" fieldPosition="0">
        <references count="2">
          <reference field="3" count="1" selected="0">
            <x v="4"/>
          </reference>
          <reference field="6" count="1">
            <x v="1"/>
          </reference>
        </references>
      </pivotArea>
    </format>
    <format dxfId="80">
      <pivotArea collapsedLevelsAreSubtotals="1" fieldPosition="0">
        <references count="2">
          <reference field="3" count="1" selected="0">
            <x v="2"/>
          </reference>
          <reference field="6" count="1">
            <x v="1"/>
          </reference>
        </references>
      </pivotArea>
    </format>
    <format dxfId="79">
      <pivotArea collapsedLevelsAreSubtotals="1" fieldPosition="0">
        <references count="2">
          <reference field="3" count="1" selected="0">
            <x v="0"/>
          </reference>
          <reference field="6" count="1">
            <x v="1"/>
          </reference>
        </references>
      </pivotArea>
    </format>
    <format dxfId="56">
      <pivotArea field="6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Col="1" outline="0" fieldPosition="0"/>
    </format>
    <format dxfId="45">
      <pivotArea collapsedLevelsAreSubtotals="1" fieldPosition="0">
        <references count="2">
          <reference field="3" count="1" selected="0">
            <x v="8"/>
          </reference>
          <reference field="6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F9B57-B688-4923-9689-D300C6FD2A2D}" name="Tableau croisé dynamique36" cacheId="8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Periodes">
  <location ref="J2:T7" firstHeaderRow="1" firstDataRow="2" firstDataCol="1"/>
  <pivotFields count="7">
    <pivotField dataField="1" showAll="0"/>
    <pivotField numFmtId="14" showAll="0"/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Nombre de transaction_id" fld="0" subtotal="count" baseField="0" baseItem="0"/>
  </dataFields>
  <formats count="6">
    <format dxfId="85">
      <pivotArea collapsedLevelsAreSubtotals="1" fieldPosition="0">
        <references count="2">
          <reference field="2" count="4" selected="0">
            <x v="4"/>
            <x v="5"/>
            <x v="6"/>
            <x v="7"/>
          </reference>
          <reference field="6" count="1">
            <x v="1"/>
          </reference>
        </references>
      </pivotArea>
    </format>
    <format dxfId="84">
      <pivotArea collapsedLevelsAreSubtotals="1" fieldPosition="0">
        <references count="2">
          <reference field="2" count="1" selected="0">
            <x v="8"/>
          </reference>
          <reference field="6" count="1">
            <x v="2"/>
          </reference>
        </references>
      </pivotArea>
    </format>
    <format dxfId="83">
      <pivotArea collapsedLevelsAreSubtotals="1" fieldPosition="0">
        <references count="2">
          <reference field="2" count="1" selected="0">
            <x v="0"/>
          </reference>
          <reference field="6" count="1">
            <x v="1"/>
          </reference>
        </references>
      </pivotArea>
    </format>
    <format dxfId="76">
      <pivotArea type="origin" dataOnly="0" labelOnly="1" outline="0" fieldPosition="0"/>
    </format>
    <format dxfId="75">
      <pivotArea field="2" type="button" dataOnly="0" labelOnly="1" outline="0" axis="axisCol" fieldPosition="0"/>
    </format>
    <format dxfId="7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B3B079C8-ED50-4C60-8A56-19395ED10755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client_id" tableColumnId="3"/>
      <queryTableField id="4" name="commune" tableColumnId="4"/>
      <queryTableField id="5" name="produit" tableColumnId="5"/>
      <queryTableField id="6" name="montant_fc" tableColumnId="6"/>
      <queryTableField id="7" name="cana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301BC666-7C2A-4E15-8EA0-99A3975FCBDA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agent_id" tableColumnId="3"/>
      <queryTableField id="4" name="client_id" tableColumnId="4"/>
      <queryTableField id="5" name="commune" tableColumnId="5"/>
      <queryTableField id="6" name="produit" tableColumnId="6"/>
      <queryTableField id="7" name="montant_fc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E13B1BE9-7263-438F-8772-7D7D87F1E646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client_id" tableColumnId="3"/>
      <queryTableField id="4" name="commune" tableColumnId="4"/>
      <queryTableField id="5" name="produit" tableColumnId="5"/>
      <queryTableField id="6" name="montant_fc" tableColumnId="6"/>
      <queryTableField id="7" name="periode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83A65-D9A6-475F-8D16-1CE811FFF2E9}" name="Tableau1" displayName="Tableau1" ref="B3:H13" totalsRowShown="0" headerRowDxfId="153" dataDxfId="154">
  <autoFilter ref="B3:H13" xr:uid="{6EC83A65-D9A6-475F-8D16-1CE811FFF2E9}"/>
  <tableColumns count="7">
    <tableColumn id="1" xr3:uid="{54537CD7-847D-4C04-9BD6-B993FB8C0924}" name="transaction_id" dataDxfId="161"/>
    <tableColumn id="2" xr3:uid="{7DFAA592-DC98-463C-A6AF-A94A0F915646}" name="date" dataDxfId="160"/>
    <tableColumn id="3" xr3:uid="{122DF7BD-714F-4B55-830F-7573F364E80A}" name="client_id" dataDxfId="159"/>
    <tableColumn id="4" xr3:uid="{1B94713D-DD23-416E-B23B-98EF629AFCBE}" name="commune" dataDxfId="158"/>
    <tableColumn id="5" xr3:uid="{084E48D7-3EDD-4FC4-B38B-BD3872EDFF23}" name="produit" dataDxfId="157"/>
    <tableColumn id="6" xr3:uid="{D1BF92F6-B520-4D49-B97E-C1395DDE5A98}" name="montant_fc" dataDxfId="156"/>
    <tableColumn id="7" xr3:uid="{21C18558-D71D-47B7-B0D0-001594508953}" name="canal" dataDxfId="1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3BC6D-66A6-432F-982F-C406FA282078}" name="Dataset_day2__2" displayName="Dataset_day2__2" ref="B2:H17" tableType="queryTable" totalsRowShown="0">
  <autoFilter ref="B2:H17" xr:uid="{5B43BC6D-66A6-432F-982F-C406FA282078}"/>
  <tableColumns count="7">
    <tableColumn id="1" xr3:uid="{F0363F15-00D8-44D9-B9E8-73E1201A36E6}" uniqueName="1" name="transaction_id" queryTableFieldId="1" dataDxfId="146"/>
    <tableColumn id="2" xr3:uid="{85F76B94-3323-41EB-B99E-F9DE7DD9EF5D}" uniqueName="2" name="date" queryTableFieldId="2" dataDxfId="145"/>
    <tableColumn id="3" xr3:uid="{90258075-E8BA-4181-AEBF-14DCE9CF1AC4}" uniqueName="3" name="client_id" queryTableFieldId="3" dataDxfId="144"/>
    <tableColumn id="4" xr3:uid="{3B088930-C813-470C-9790-11DA318C42A1}" uniqueName="4" name="commune" queryTableFieldId="4" dataDxfId="143"/>
    <tableColumn id="5" xr3:uid="{E074DF00-E0E7-41D6-B91A-ABE22CB1881A}" uniqueName="5" name="produit" queryTableFieldId="5" dataDxfId="142"/>
    <tableColumn id="6" xr3:uid="{7C01ABE9-F9C0-40F6-9F95-D610FB820086}" uniqueName="6" name="montant_fc" queryTableFieldId="6"/>
    <tableColumn id="7" xr3:uid="{30F6D1BA-4065-4D54-BF94-1BE05C99AC63}" uniqueName="7" name="canal" queryTableFieldId="7" dataDxfId="1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A0DCA2-C1C4-44D4-AD45-BDA248A44995}" name="Dataset_day3" displayName="Dataset_day3" ref="B2:H17" tableType="queryTable" totalsRowShown="0">
  <autoFilter ref="B2:H17" xr:uid="{A4A0DCA2-C1C4-44D4-AD45-BDA248A44995}"/>
  <tableColumns count="7">
    <tableColumn id="1" xr3:uid="{A0067E32-0369-4D8A-BDF1-C8B907B86BD0}" uniqueName="1" name="transaction_id" queryTableFieldId="1" dataDxfId="120"/>
    <tableColumn id="2" xr3:uid="{C68FAFFA-BEA0-4F94-BA99-6450F477971E}" uniqueName="2" name="date" queryTableFieldId="2" dataDxfId="119"/>
    <tableColumn id="3" xr3:uid="{CDF65428-BE02-471D-A8F7-90F1D8454251}" uniqueName="3" name="agent_id" queryTableFieldId="3" dataDxfId="118"/>
    <tableColumn id="4" xr3:uid="{22F84FAA-57F1-425F-B37C-F8428C49E033}" uniqueName="4" name="client_id" queryTableFieldId="4" dataDxfId="117"/>
    <tableColumn id="5" xr3:uid="{93A8CFD1-D585-478D-9AFB-02301838500E}" uniqueName="5" name="commune" queryTableFieldId="5" dataDxfId="116"/>
    <tableColumn id="6" xr3:uid="{956E7CEA-E833-4F96-9E51-2D67194B8C61}" uniqueName="6" name="produit" queryTableFieldId="6" dataDxfId="115"/>
    <tableColumn id="7" xr3:uid="{E636C8A0-3C3C-48BE-AFE5-1B3DB129CA7E}" uniqueName="7" name="montant_fc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24B926-8F3E-4EE6-9138-D47BB2378B02}" name="Dataset_day4" displayName="Dataset_day4" ref="B2:G17" totalsRowShown="0">
  <autoFilter ref="B2:G17" xr:uid="{AB24B926-8F3E-4EE6-9138-D47BB2378B02}"/>
  <tableColumns count="6">
    <tableColumn id="1" xr3:uid="{2FA77349-5B7D-430C-A299-CA8EF8B94F8F}" name="transaction_id" dataDxfId="104"/>
    <tableColumn id="2" xr3:uid="{EA88A0A8-EDC4-468E-80F4-EF0578FE9A03}" name="date" dataDxfId="103"/>
    <tableColumn id="3" xr3:uid="{811F8411-B146-492E-A697-2D905854F94D}" name="client_id" dataDxfId="102"/>
    <tableColumn id="4" xr3:uid="{7B37CE19-01A8-4470-8A2B-849B751FB37D}" name="commune" dataDxfId="101"/>
    <tableColumn id="5" xr3:uid="{863A1A63-AC11-4715-82E2-F6EC444E5B51}" name="produit" dataDxfId="100"/>
    <tableColumn id="6" xr3:uid="{DDFB738A-4C05-4F97-882D-16FE65EF8A7E}" name="montant_f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C5B688-9C67-4CAD-9DAE-7207D5E5E850}" name="Tableau9" displayName="Tableau9" ref="AA3:AA11" totalsRowShown="0" headerRowDxfId="92">
  <autoFilter ref="AA3:AA11" xr:uid="{B1C5B688-9C67-4CAD-9DAE-7207D5E5E850}"/>
  <sortState xmlns:xlrd2="http://schemas.microsoft.com/office/spreadsheetml/2017/richdata2" ref="AA4:AA11">
    <sortCondition ref="AA3:AA11"/>
  </sortState>
  <tableColumns count="1">
    <tableColumn id="1" xr3:uid="{F0281C12-33A8-4A9F-A45D-97A8594EFF99}" name="Panier moyen">
      <calculatedColumnFormula>AVERAGE(J4:X4)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A92EC0-501A-4751-9A16-2163E0BD39EA}" name="Dataset_day5" displayName="Dataset_day5" ref="B2:H17" tableType="queryTable" totalsRowShown="0" headerRowDxfId="77">
  <autoFilter ref="B2:H17" xr:uid="{C4A92EC0-501A-4751-9A16-2163E0BD39EA}"/>
  <tableColumns count="7">
    <tableColumn id="1" xr3:uid="{FBC21564-1B48-423F-AFDB-04B5AE20CF75}" uniqueName="1" name="transaction_id" queryTableFieldId="1" dataDxfId="91"/>
    <tableColumn id="2" xr3:uid="{CA4A50D7-5720-4F71-ACD1-3781681C0231}" uniqueName="2" name="date" queryTableFieldId="2" dataDxfId="90"/>
    <tableColumn id="3" xr3:uid="{A265E5F8-50A6-4DD3-8C5E-10BB05E3F126}" uniqueName="3" name="client_id" queryTableFieldId="3" dataDxfId="89"/>
    <tableColumn id="4" xr3:uid="{0E595B89-2727-474B-B4A6-66BC0AC0864A}" uniqueName="4" name="commune" queryTableFieldId="4" dataDxfId="88"/>
    <tableColumn id="5" xr3:uid="{4D992877-9744-466D-982E-E1F06CDEF762}" uniqueName="5" name="produit" queryTableFieldId="5" dataDxfId="87"/>
    <tableColumn id="6" xr3:uid="{D10FAE6E-7969-4551-94AB-82C2D27DFD50}" uniqueName="6" name="montant_fc" queryTableFieldId="6"/>
    <tableColumn id="7" xr3:uid="{7306D68B-3C9A-40F7-A0D9-E00CC8C73541}" uniqueName="7" name="periode" queryTableFieldId="7" dataDxfId="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E59C74-D329-4B48-A967-CC868365949C}" name="Tableau5" displayName="Tableau5" ref="A1:G6" totalsRowShown="0">
  <autoFilter ref="A1:G6" xr:uid="{68E59C74-D329-4B48-A967-CC868365949C}"/>
  <tableColumns count="7">
    <tableColumn id="1" xr3:uid="{C102BD58-3DF8-48B7-9114-2067608D3DB4}" name="transaction_id"/>
    <tableColumn id="2" xr3:uid="{998F6E83-476D-414D-8353-8E6146354739}" name="date" dataDxfId="110"/>
    <tableColumn id="3" xr3:uid="{1ACC5CD9-2A0F-4DB2-B7B7-A25781DA1795}" name="agent_id"/>
    <tableColumn id="4" xr3:uid="{D4B111D2-01DE-4AFC-91B0-641E23172B8C}" name="client_id"/>
    <tableColumn id="5" xr3:uid="{C0E2906A-2633-4FB3-89D8-883ADDF86D4F}" name="commune"/>
    <tableColumn id="6" xr3:uid="{B6077FBA-5F20-4AB8-BFE4-BFF51FADC96B}" name="produit"/>
    <tableColumn id="7" xr3:uid="{49B54692-17C9-4F9C-9A72-2752C8646EAF}" name="montant_f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table" Target="../tables/table6.xml"/><Relationship Id="rId4" Type="http://schemas.openxmlformats.org/officeDocument/2006/relationships/pivotTable" Target="../pivotTables/pivotTable1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012F-C756-4CF6-A456-1922518EC017}">
  <dimension ref="A2:I70"/>
  <sheetViews>
    <sheetView tabSelected="1" topLeftCell="A26" workbookViewId="0">
      <selection activeCell="G18" sqref="G18"/>
    </sheetView>
  </sheetViews>
  <sheetFormatPr baseColWidth="10" defaultRowHeight="15" x14ac:dyDescent="0.25"/>
  <cols>
    <col min="2" max="3" width="21.42578125" bestFit="1" customWidth="1"/>
    <col min="4" max="4" width="24.42578125" bestFit="1" customWidth="1"/>
    <col min="5" max="9" width="21.42578125" bestFit="1" customWidth="1"/>
    <col min="10" max="10" width="21.85546875" bestFit="1" customWidth="1"/>
    <col min="11" max="12" width="21.42578125" bestFit="1" customWidth="1"/>
  </cols>
  <sheetData>
    <row r="2" spans="1:9" x14ac:dyDescent="0.25">
      <c r="B2" s="16" t="s">
        <v>43</v>
      </c>
      <c r="C2" s="16"/>
      <c r="D2" s="16"/>
      <c r="E2" s="16"/>
      <c r="F2" s="16"/>
      <c r="G2" s="16"/>
      <c r="H2" s="16"/>
    </row>
    <row r="3" spans="1:9" x14ac:dyDescent="0.25">
      <c r="A3" s="13" t="s">
        <v>182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5</v>
      </c>
      <c r="H3" s="2" t="s">
        <v>6</v>
      </c>
      <c r="I3" s="2"/>
    </row>
    <row r="4" spans="1:9" x14ac:dyDescent="0.25">
      <c r="A4" s="14">
        <v>1</v>
      </c>
      <c r="B4" s="5" t="s">
        <v>7</v>
      </c>
      <c r="C4" s="7">
        <v>46143</v>
      </c>
      <c r="D4" s="5" t="s">
        <v>8</v>
      </c>
      <c r="E4" s="5" t="s">
        <v>9</v>
      </c>
      <c r="F4" s="5" t="s">
        <v>10</v>
      </c>
      <c r="G4" s="3">
        <v>10000</v>
      </c>
      <c r="H4" s="5" t="s">
        <v>11</v>
      </c>
    </row>
    <row r="5" spans="1:9" x14ac:dyDescent="0.25">
      <c r="A5" s="15">
        <v>2</v>
      </c>
      <c r="B5" s="5" t="s">
        <v>12</v>
      </c>
      <c r="C5" s="7">
        <v>46143</v>
      </c>
      <c r="D5" s="5" t="s">
        <v>13</v>
      </c>
      <c r="E5" s="5" t="s">
        <v>14</v>
      </c>
      <c r="F5" s="5" t="s">
        <v>15</v>
      </c>
      <c r="G5" s="3">
        <v>3000</v>
      </c>
      <c r="H5" s="5" t="s">
        <v>16</v>
      </c>
    </row>
    <row r="6" spans="1:9" x14ac:dyDescent="0.25">
      <c r="A6" s="14">
        <v>3</v>
      </c>
      <c r="B6" s="5" t="s">
        <v>17</v>
      </c>
      <c r="C6" s="7">
        <v>46143</v>
      </c>
      <c r="D6" s="5" t="s">
        <v>18</v>
      </c>
      <c r="E6" s="5" t="s">
        <v>19</v>
      </c>
      <c r="F6" s="5" t="s">
        <v>10</v>
      </c>
      <c r="G6" s="3">
        <v>10000</v>
      </c>
      <c r="H6" s="5" t="s">
        <v>20</v>
      </c>
    </row>
    <row r="7" spans="1:9" x14ac:dyDescent="0.25">
      <c r="A7" s="15">
        <v>4</v>
      </c>
      <c r="B7" s="5" t="s">
        <v>21</v>
      </c>
      <c r="C7" s="7">
        <v>46144</v>
      </c>
      <c r="D7" s="5" t="s">
        <v>8</v>
      </c>
      <c r="E7" s="5" t="s">
        <v>9</v>
      </c>
      <c r="F7" s="5" t="s">
        <v>22</v>
      </c>
      <c r="G7" s="3">
        <v>1000</v>
      </c>
      <c r="H7" s="5" t="s">
        <v>11</v>
      </c>
    </row>
    <row r="8" spans="1:9" x14ac:dyDescent="0.25">
      <c r="A8" s="14">
        <v>5</v>
      </c>
      <c r="B8" s="5" t="s">
        <v>23</v>
      </c>
      <c r="C8" s="7">
        <v>46144</v>
      </c>
      <c r="D8" s="5" t="s">
        <v>24</v>
      </c>
      <c r="E8" s="5" t="s">
        <v>25</v>
      </c>
      <c r="F8" s="5" t="s">
        <v>26</v>
      </c>
      <c r="G8" s="3">
        <v>18000</v>
      </c>
      <c r="H8" s="5" t="s">
        <v>20</v>
      </c>
    </row>
    <row r="9" spans="1:9" x14ac:dyDescent="0.25">
      <c r="A9" s="15">
        <v>6</v>
      </c>
      <c r="B9" s="5" t="s">
        <v>27</v>
      </c>
      <c r="C9" s="7">
        <v>46144</v>
      </c>
      <c r="D9" s="5" t="s">
        <v>28</v>
      </c>
      <c r="E9" s="5" t="s">
        <v>14</v>
      </c>
      <c r="F9" s="5" t="s">
        <v>15</v>
      </c>
      <c r="G9" s="3">
        <v>3000</v>
      </c>
      <c r="H9" s="5" t="s">
        <v>16</v>
      </c>
    </row>
    <row r="10" spans="1:9" x14ac:dyDescent="0.25">
      <c r="A10" s="14">
        <v>7</v>
      </c>
      <c r="B10" s="5" t="s">
        <v>29</v>
      </c>
      <c r="C10" s="7">
        <v>46145</v>
      </c>
      <c r="D10" s="5" t="s">
        <v>30</v>
      </c>
      <c r="E10" s="5" t="s">
        <v>31</v>
      </c>
      <c r="F10" s="5" t="s">
        <v>10</v>
      </c>
      <c r="G10" s="3">
        <v>10000</v>
      </c>
      <c r="H10" s="5" t="s">
        <v>20</v>
      </c>
    </row>
    <row r="11" spans="1:9" x14ac:dyDescent="0.25">
      <c r="A11" s="15">
        <v>8</v>
      </c>
      <c r="B11" s="5" t="s">
        <v>32</v>
      </c>
      <c r="C11" s="7">
        <v>46145</v>
      </c>
      <c r="D11" s="5" t="s">
        <v>13</v>
      </c>
      <c r="E11" s="5" t="s">
        <v>14</v>
      </c>
      <c r="F11" s="5" t="s">
        <v>15</v>
      </c>
      <c r="G11" s="3">
        <v>3000</v>
      </c>
      <c r="H11" s="5" t="s">
        <v>16</v>
      </c>
    </row>
    <row r="12" spans="1:9" x14ac:dyDescent="0.25">
      <c r="A12" s="14">
        <v>9</v>
      </c>
      <c r="B12" s="5" t="s">
        <v>33</v>
      </c>
      <c r="C12" s="7">
        <v>46145</v>
      </c>
      <c r="D12" s="5" t="s">
        <v>34</v>
      </c>
      <c r="E12" s="5" t="s">
        <v>9</v>
      </c>
      <c r="F12" s="5" t="s">
        <v>26</v>
      </c>
      <c r="G12" s="3">
        <v>18000</v>
      </c>
      <c r="H12" s="5" t="s">
        <v>11</v>
      </c>
    </row>
    <row r="13" spans="1:9" x14ac:dyDescent="0.25">
      <c r="A13" s="15">
        <v>10</v>
      </c>
      <c r="B13" s="5" t="s">
        <v>35</v>
      </c>
      <c r="C13" s="7">
        <v>46145</v>
      </c>
      <c r="D13" s="5" t="s">
        <v>36</v>
      </c>
      <c r="E13" s="5" t="s">
        <v>19</v>
      </c>
      <c r="F13" s="5" t="s">
        <v>22</v>
      </c>
      <c r="G13" s="3">
        <v>1000</v>
      </c>
      <c r="H13" s="5" t="s">
        <v>20</v>
      </c>
    </row>
    <row r="14" spans="1:9" x14ac:dyDescent="0.25">
      <c r="B14" s="5"/>
      <c r="C14" s="7"/>
      <c r="D14" s="5"/>
      <c r="E14" s="5"/>
      <c r="F14" s="5"/>
      <c r="G14" s="3"/>
      <c r="H14" s="5"/>
    </row>
    <row r="15" spans="1:9" ht="32.25" customHeight="1" x14ac:dyDescent="0.25">
      <c r="B15" s="39" t="s">
        <v>177</v>
      </c>
      <c r="C15" s="38"/>
      <c r="D15" s="38"/>
      <c r="E15" s="38"/>
      <c r="F15" s="38"/>
      <c r="G15" s="38"/>
      <c r="H15" s="38"/>
    </row>
    <row r="16" spans="1:9" ht="18.75" x14ac:dyDescent="0.25">
      <c r="B16" s="40"/>
      <c r="C16" s="1"/>
      <c r="D16" s="1"/>
      <c r="E16" s="1"/>
      <c r="F16" s="1"/>
      <c r="G16" s="1"/>
      <c r="H16" s="1"/>
    </row>
    <row r="17" spans="2:7" ht="18.75" customHeight="1" x14ac:dyDescent="0.25">
      <c r="B17" s="39" t="s">
        <v>178</v>
      </c>
      <c r="C17" s="39"/>
      <c r="D17" s="39"/>
      <c r="E17" s="41"/>
    </row>
    <row r="19" spans="2:7" x14ac:dyDescent="0.25">
      <c r="B19" s="16" t="s">
        <v>44</v>
      </c>
      <c r="C19" s="16"/>
    </row>
    <row r="20" spans="2:7" x14ac:dyDescent="0.25">
      <c r="B20" s="8" t="s">
        <v>38</v>
      </c>
      <c r="C20" t="s">
        <v>41</v>
      </c>
    </row>
    <row r="21" spans="2:7" x14ac:dyDescent="0.25">
      <c r="B21" s="19">
        <v>46143</v>
      </c>
      <c r="C21" s="10">
        <v>23000</v>
      </c>
    </row>
    <row r="22" spans="2:7" x14ac:dyDescent="0.25">
      <c r="B22" s="19">
        <v>46144</v>
      </c>
      <c r="C22" s="10">
        <v>22000</v>
      </c>
    </row>
    <row r="23" spans="2:7" x14ac:dyDescent="0.25">
      <c r="B23" s="19">
        <v>46145</v>
      </c>
      <c r="C23" s="10">
        <v>32000</v>
      </c>
    </row>
    <row r="24" spans="2:7" x14ac:dyDescent="0.25">
      <c r="B24" s="19" t="s">
        <v>37</v>
      </c>
      <c r="C24" s="10">
        <v>77000</v>
      </c>
    </row>
    <row r="26" spans="2:7" x14ac:dyDescent="0.25">
      <c r="B26" s="9"/>
      <c r="C26" s="10"/>
    </row>
    <row r="27" spans="2:7" ht="18.75" customHeight="1" x14ac:dyDescent="0.25">
      <c r="B27" s="39" t="s">
        <v>179</v>
      </c>
      <c r="C27" s="39"/>
      <c r="D27" s="39"/>
      <c r="E27" s="41"/>
      <c r="F27" s="1"/>
      <c r="G27" s="1"/>
    </row>
    <row r="30" spans="2:7" x14ac:dyDescent="0.25">
      <c r="B30" s="16" t="s">
        <v>45</v>
      </c>
      <c r="C30" s="16"/>
    </row>
    <row r="31" spans="2:7" x14ac:dyDescent="0.25">
      <c r="B31" s="8" t="s">
        <v>38</v>
      </c>
      <c r="C31" t="s">
        <v>41</v>
      </c>
    </row>
    <row r="32" spans="2:7" x14ac:dyDescent="0.25">
      <c r="B32" s="42" t="s">
        <v>9</v>
      </c>
      <c r="C32" s="23">
        <v>29000</v>
      </c>
    </row>
    <row r="33" spans="2:4" x14ac:dyDescent="0.25">
      <c r="B33" s="9" t="s">
        <v>14</v>
      </c>
      <c r="C33" s="10">
        <v>9000</v>
      </c>
    </row>
    <row r="34" spans="2:4" x14ac:dyDescent="0.25">
      <c r="B34" s="9" t="s">
        <v>31</v>
      </c>
      <c r="C34" s="10">
        <v>10000</v>
      </c>
    </row>
    <row r="35" spans="2:4" x14ac:dyDescent="0.25">
      <c r="B35" s="9" t="s">
        <v>19</v>
      </c>
      <c r="C35" s="10">
        <v>11000</v>
      </c>
    </row>
    <row r="36" spans="2:4" x14ac:dyDescent="0.25">
      <c r="B36" s="9" t="s">
        <v>25</v>
      </c>
      <c r="C36" s="10">
        <v>18000</v>
      </c>
    </row>
    <row r="37" spans="2:4" x14ac:dyDescent="0.25">
      <c r="B37" s="9" t="s">
        <v>40</v>
      </c>
      <c r="C37" s="10">
        <v>77000</v>
      </c>
    </row>
    <row r="40" spans="2:4" ht="18.75" x14ac:dyDescent="0.25">
      <c r="B40" s="39" t="s">
        <v>180</v>
      </c>
      <c r="C40" s="39"/>
      <c r="D40" s="39"/>
    </row>
    <row r="42" spans="2:4" x14ac:dyDescent="0.25">
      <c r="B42" s="16" t="s">
        <v>46</v>
      </c>
      <c r="C42" s="16"/>
    </row>
    <row r="43" spans="2:4" x14ac:dyDescent="0.25">
      <c r="B43" s="8" t="s">
        <v>38</v>
      </c>
      <c r="C43" t="s">
        <v>41</v>
      </c>
    </row>
    <row r="44" spans="2:4" x14ac:dyDescent="0.25">
      <c r="B44" s="17" t="s">
        <v>26</v>
      </c>
      <c r="C44" s="18">
        <v>36000</v>
      </c>
    </row>
    <row r="45" spans="2:4" x14ac:dyDescent="0.25">
      <c r="B45" s="9" t="s">
        <v>10</v>
      </c>
      <c r="C45" s="10">
        <v>30000</v>
      </c>
    </row>
    <row r="46" spans="2:4" x14ac:dyDescent="0.25">
      <c r="B46" s="9" t="s">
        <v>15</v>
      </c>
      <c r="C46" s="10">
        <v>9000</v>
      </c>
    </row>
    <row r="47" spans="2:4" x14ac:dyDescent="0.25">
      <c r="B47" s="9" t="s">
        <v>22</v>
      </c>
      <c r="C47" s="10">
        <v>2000</v>
      </c>
    </row>
    <row r="48" spans="2:4" x14ac:dyDescent="0.25">
      <c r="B48" s="9" t="s">
        <v>40</v>
      </c>
      <c r="C48" s="10">
        <v>77000</v>
      </c>
    </row>
    <row r="50" spans="2:5" ht="18.75" x14ac:dyDescent="0.25">
      <c r="B50" s="39" t="s">
        <v>181</v>
      </c>
      <c r="C50" s="39"/>
      <c r="D50" s="39"/>
    </row>
    <row r="52" spans="2:5" x14ac:dyDescent="0.25">
      <c r="B52" s="16" t="s">
        <v>47</v>
      </c>
      <c r="C52" s="12"/>
    </row>
    <row r="53" spans="2:5" x14ac:dyDescent="0.25">
      <c r="B53" s="8" t="s">
        <v>38</v>
      </c>
      <c r="C53" t="s">
        <v>39</v>
      </c>
    </row>
    <row r="54" spans="2:5" x14ac:dyDescent="0.25">
      <c r="B54" s="17" t="s">
        <v>20</v>
      </c>
      <c r="C54" s="18">
        <v>4</v>
      </c>
    </row>
    <row r="55" spans="2:5" x14ac:dyDescent="0.25">
      <c r="B55" s="9" t="s">
        <v>11</v>
      </c>
      <c r="C55" s="10">
        <v>3</v>
      </c>
    </row>
    <row r="56" spans="2:5" x14ac:dyDescent="0.25">
      <c r="B56" s="9" t="s">
        <v>16</v>
      </c>
      <c r="C56" s="10">
        <v>3</v>
      </c>
    </row>
    <row r="57" spans="2:5" x14ac:dyDescent="0.25">
      <c r="B57" s="9" t="s">
        <v>40</v>
      </c>
      <c r="C57" s="10">
        <v>10</v>
      </c>
    </row>
    <row r="60" spans="2:5" ht="18.75" x14ac:dyDescent="0.3">
      <c r="B60" s="46" t="s">
        <v>188</v>
      </c>
      <c r="C60" s="46"/>
    </row>
    <row r="62" spans="2:5" x14ac:dyDescent="0.25">
      <c r="B62" s="44" t="s">
        <v>189</v>
      </c>
      <c r="C62" s="44"/>
      <c r="D62" s="44"/>
      <c r="E62" s="44"/>
    </row>
    <row r="63" spans="2:5" x14ac:dyDescent="0.25">
      <c r="B63" s="44"/>
      <c r="C63" s="44"/>
      <c r="D63" s="44"/>
      <c r="E63" s="44"/>
    </row>
    <row r="64" spans="2:5" ht="15.75" x14ac:dyDescent="0.25">
      <c r="B64" s="45"/>
      <c r="C64" s="45"/>
      <c r="D64" s="45"/>
      <c r="E64" s="45"/>
    </row>
    <row r="65" spans="2:2" ht="18.75" x14ac:dyDescent="0.3">
      <c r="B65" s="47" t="s">
        <v>183</v>
      </c>
    </row>
    <row r="66" spans="2:2" x14ac:dyDescent="0.25">
      <c r="B66" s="43"/>
    </row>
    <row r="67" spans="2:2" ht="15.75" x14ac:dyDescent="0.25">
      <c r="B67" s="48" t="s">
        <v>184</v>
      </c>
    </row>
    <row r="68" spans="2:2" ht="15.75" x14ac:dyDescent="0.25">
      <c r="B68" s="48" t="s">
        <v>185</v>
      </c>
    </row>
    <row r="69" spans="2:2" ht="15.75" x14ac:dyDescent="0.25">
      <c r="B69" s="48" t="s">
        <v>186</v>
      </c>
    </row>
    <row r="70" spans="2:2" ht="15.75" x14ac:dyDescent="0.25">
      <c r="B70" s="48" t="s">
        <v>187</v>
      </c>
    </row>
  </sheetData>
  <mergeCells count="12">
    <mergeCell ref="B27:D27"/>
    <mergeCell ref="B40:D40"/>
    <mergeCell ref="B50:D50"/>
    <mergeCell ref="B60:C60"/>
    <mergeCell ref="B62:E63"/>
    <mergeCell ref="B2:H2"/>
    <mergeCell ref="B19:C19"/>
    <mergeCell ref="B30:C30"/>
    <mergeCell ref="B42:C42"/>
    <mergeCell ref="B52:C52"/>
    <mergeCell ref="B15:H15"/>
    <mergeCell ref="B17:D17"/>
  </mergeCells>
  <conditionalFormatting pivot="1" sqref="C32:C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4:C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5758-93E2-487B-85C5-0ABD94158F0A}">
  <dimension ref="B2:T26"/>
  <sheetViews>
    <sheetView zoomScale="90" zoomScaleNormal="90" workbookViewId="0">
      <selection activeCell="I13" sqref="I13"/>
    </sheetView>
  </sheetViews>
  <sheetFormatPr baseColWidth="10" defaultRowHeight="15" x14ac:dyDescent="0.25"/>
  <cols>
    <col min="1" max="1" width="7.140625" customWidth="1"/>
    <col min="2" max="2" width="13.85546875" customWidth="1"/>
    <col min="3" max="3" width="13" customWidth="1"/>
    <col min="4" max="4" width="12.140625" customWidth="1"/>
    <col min="5" max="5" width="12.7109375" customWidth="1"/>
    <col min="6" max="6" width="12.85546875" customWidth="1"/>
    <col min="7" max="7" width="13.28515625" customWidth="1"/>
    <col min="8" max="8" width="12" customWidth="1"/>
    <col min="9" max="9" width="13.85546875" customWidth="1"/>
    <col min="10" max="10" width="11.140625" customWidth="1"/>
    <col min="11" max="11" width="13.42578125" customWidth="1"/>
    <col min="12" max="12" width="11" customWidth="1"/>
    <col min="13" max="13" width="14.28515625" customWidth="1"/>
    <col min="14" max="14" width="12.140625" customWidth="1"/>
    <col min="15" max="15" width="13.42578125" customWidth="1"/>
    <col min="16" max="16" width="11.7109375" customWidth="1"/>
    <col min="17" max="17" width="13.42578125" customWidth="1"/>
    <col min="18" max="18" width="18.140625" bestFit="1" customWidth="1"/>
    <col min="19" max="19" width="10.5703125" customWidth="1"/>
    <col min="20" max="20" width="11.28515625" customWidth="1"/>
  </cols>
  <sheetData>
    <row r="2" spans="2:1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18" x14ac:dyDescent="0.25">
      <c r="B3" s="10" t="s">
        <v>48</v>
      </c>
      <c r="C3" s="6">
        <v>46146</v>
      </c>
      <c r="D3" s="10" t="s">
        <v>8</v>
      </c>
      <c r="E3" s="10" t="s">
        <v>9</v>
      </c>
      <c r="F3" s="10" t="s">
        <v>26</v>
      </c>
      <c r="G3">
        <v>18000</v>
      </c>
      <c r="H3" s="10" t="s">
        <v>11</v>
      </c>
    </row>
    <row r="4" spans="2:18" x14ac:dyDescent="0.25">
      <c r="B4" s="10" t="s">
        <v>49</v>
      </c>
      <c r="C4" s="6">
        <v>46146</v>
      </c>
      <c r="D4" s="10" t="s">
        <v>13</v>
      </c>
      <c r="E4" s="10" t="s">
        <v>14</v>
      </c>
      <c r="F4" s="10" t="s">
        <v>15</v>
      </c>
      <c r="G4">
        <v>3000</v>
      </c>
      <c r="H4" s="10" t="s">
        <v>16</v>
      </c>
    </row>
    <row r="5" spans="2:18" x14ac:dyDescent="0.25">
      <c r="B5" s="10" t="s">
        <v>50</v>
      </c>
      <c r="C5" s="6">
        <v>46146</v>
      </c>
      <c r="D5" s="10" t="s">
        <v>8</v>
      </c>
      <c r="E5" s="10" t="s">
        <v>9</v>
      </c>
      <c r="F5" s="10" t="s">
        <v>10</v>
      </c>
      <c r="G5">
        <v>10000</v>
      </c>
      <c r="H5" s="10" t="s">
        <v>11</v>
      </c>
    </row>
    <row r="6" spans="2:18" x14ac:dyDescent="0.25">
      <c r="B6" s="10" t="s">
        <v>51</v>
      </c>
      <c r="C6" s="6">
        <v>46146</v>
      </c>
      <c r="D6" s="10" t="s">
        <v>52</v>
      </c>
      <c r="E6" s="10" t="s">
        <v>19</v>
      </c>
      <c r="F6" s="10" t="s">
        <v>22</v>
      </c>
      <c r="G6">
        <v>1000</v>
      </c>
      <c r="H6" s="10" t="s">
        <v>20</v>
      </c>
    </row>
    <row r="7" spans="2:18" x14ac:dyDescent="0.25">
      <c r="B7" s="10" t="s">
        <v>53</v>
      </c>
      <c r="C7" s="6">
        <v>46146</v>
      </c>
      <c r="D7" s="10" t="s">
        <v>54</v>
      </c>
      <c r="E7" s="10" t="s">
        <v>31</v>
      </c>
      <c r="F7" s="10" t="s">
        <v>26</v>
      </c>
      <c r="G7">
        <v>18000</v>
      </c>
      <c r="H7" s="10" t="s">
        <v>20</v>
      </c>
      <c r="J7" s="8" t="s">
        <v>73</v>
      </c>
      <c r="K7" s="8" t="s">
        <v>42</v>
      </c>
    </row>
    <row r="8" spans="2:18" x14ac:dyDescent="0.25">
      <c r="B8" s="10" t="s">
        <v>55</v>
      </c>
      <c r="C8" s="6">
        <v>46147</v>
      </c>
      <c r="D8" s="10" t="s">
        <v>8</v>
      </c>
      <c r="E8" s="10" t="s">
        <v>9</v>
      </c>
      <c r="F8" s="10" t="s">
        <v>26</v>
      </c>
      <c r="G8">
        <v>18000</v>
      </c>
      <c r="H8" s="10" t="s">
        <v>11</v>
      </c>
      <c r="J8" s="20" t="s">
        <v>75</v>
      </c>
      <c r="K8" s="11" t="s">
        <v>20</v>
      </c>
      <c r="L8" s="11" t="s">
        <v>11</v>
      </c>
      <c r="M8" s="11" t="s">
        <v>16</v>
      </c>
      <c r="N8" s="11" t="s">
        <v>40</v>
      </c>
      <c r="P8" s="8" t="s">
        <v>74</v>
      </c>
      <c r="Q8" t="s">
        <v>71</v>
      </c>
      <c r="R8" t="s">
        <v>72</v>
      </c>
    </row>
    <row r="9" spans="2:18" x14ac:dyDescent="0.25">
      <c r="B9" s="10" t="s">
        <v>56</v>
      </c>
      <c r="C9" s="6">
        <v>46147</v>
      </c>
      <c r="D9" s="10" t="s">
        <v>13</v>
      </c>
      <c r="E9" s="10" t="s">
        <v>14</v>
      </c>
      <c r="F9" s="10" t="s">
        <v>15</v>
      </c>
      <c r="G9">
        <v>3000</v>
      </c>
      <c r="H9" s="10" t="s">
        <v>16</v>
      </c>
      <c r="J9" s="9" t="s">
        <v>8</v>
      </c>
      <c r="K9" s="10"/>
      <c r="L9" s="10">
        <v>7</v>
      </c>
      <c r="M9" s="10"/>
      <c r="N9" s="10">
        <v>7</v>
      </c>
      <c r="P9" s="9" t="s">
        <v>8</v>
      </c>
      <c r="Q9" s="10">
        <v>7</v>
      </c>
      <c r="R9" s="10">
        <v>110000</v>
      </c>
    </row>
    <row r="10" spans="2:18" x14ac:dyDescent="0.25">
      <c r="B10" s="10" t="s">
        <v>57</v>
      </c>
      <c r="C10" s="6">
        <v>46147</v>
      </c>
      <c r="D10" s="10" t="s">
        <v>58</v>
      </c>
      <c r="E10" s="10" t="s">
        <v>25</v>
      </c>
      <c r="F10" s="10" t="s">
        <v>10</v>
      </c>
      <c r="G10">
        <v>10000</v>
      </c>
      <c r="H10" s="10" t="s">
        <v>20</v>
      </c>
      <c r="J10" s="9" t="s">
        <v>13</v>
      </c>
      <c r="K10" s="10"/>
      <c r="L10" s="10"/>
      <c r="M10" s="10">
        <v>2</v>
      </c>
      <c r="N10" s="10">
        <v>2</v>
      </c>
      <c r="P10" s="9" t="s">
        <v>13</v>
      </c>
      <c r="Q10" s="10">
        <v>2</v>
      </c>
      <c r="R10" s="10">
        <v>6000</v>
      </c>
    </row>
    <row r="11" spans="2:18" x14ac:dyDescent="0.25">
      <c r="B11" s="10" t="s">
        <v>59</v>
      </c>
      <c r="C11" s="6">
        <v>46147</v>
      </c>
      <c r="D11" s="10" t="s">
        <v>8</v>
      </c>
      <c r="E11" s="10" t="s">
        <v>9</v>
      </c>
      <c r="F11" s="10" t="s">
        <v>26</v>
      </c>
      <c r="G11">
        <v>18000</v>
      </c>
      <c r="H11" s="10" t="s">
        <v>11</v>
      </c>
      <c r="J11" s="9" t="s">
        <v>52</v>
      </c>
      <c r="K11" s="10">
        <v>1</v>
      </c>
      <c r="L11" s="10"/>
      <c r="M11" s="10"/>
      <c r="N11" s="10">
        <v>1</v>
      </c>
      <c r="P11" s="9" t="s">
        <v>52</v>
      </c>
      <c r="Q11" s="10">
        <v>1</v>
      </c>
      <c r="R11" s="10">
        <v>1000</v>
      </c>
    </row>
    <row r="12" spans="2:18" x14ac:dyDescent="0.25">
      <c r="B12" s="10" t="s">
        <v>60</v>
      </c>
      <c r="C12" s="6">
        <v>46147</v>
      </c>
      <c r="D12" s="10" t="s">
        <v>61</v>
      </c>
      <c r="E12" s="10" t="s">
        <v>9</v>
      </c>
      <c r="F12" s="10" t="s">
        <v>22</v>
      </c>
      <c r="G12">
        <v>1000</v>
      </c>
      <c r="H12" s="10" t="s">
        <v>11</v>
      </c>
      <c r="J12" s="9" t="s">
        <v>54</v>
      </c>
      <c r="K12" s="10">
        <v>1</v>
      </c>
      <c r="L12" s="10"/>
      <c r="M12" s="10"/>
      <c r="N12" s="10">
        <v>1</v>
      </c>
      <c r="P12" s="9" t="s">
        <v>54</v>
      </c>
      <c r="Q12" s="10">
        <v>1</v>
      </c>
      <c r="R12" s="10">
        <v>18000</v>
      </c>
    </row>
    <row r="13" spans="2:18" x14ac:dyDescent="0.25">
      <c r="B13" s="10" t="s">
        <v>62</v>
      </c>
      <c r="C13" s="6">
        <v>46147</v>
      </c>
      <c r="D13" s="10" t="s">
        <v>8</v>
      </c>
      <c r="E13" s="10" t="s">
        <v>9</v>
      </c>
      <c r="F13" s="10" t="s">
        <v>26</v>
      </c>
      <c r="G13">
        <v>18000</v>
      </c>
      <c r="H13" s="10" t="s">
        <v>11</v>
      </c>
      <c r="J13" s="9" t="s">
        <v>58</v>
      </c>
      <c r="K13" s="10">
        <v>1</v>
      </c>
      <c r="L13" s="10"/>
      <c r="M13" s="10"/>
      <c r="N13" s="10">
        <v>1</v>
      </c>
      <c r="P13" s="9" t="s">
        <v>58</v>
      </c>
      <c r="Q13" s="10">
        <v>1</v>
      </c>
      <c r="R13" s="10">
        <v>10000</v>
      </c>
    </row>
    <row r="14" spans="2:18" x14ac:dyDescent="0.25">
      <c r="B14" s="10" t="s">
        <v>63</v>
      </c>
      <c r="C14" s="6">
        <v>46147</v>
      </c>
      <c r="D14" s="10" t="s">
        <v>64</v>
      </c>
      <c r="E14" s="10" t="s">
        <v>31</v>
      </c>
      <c r="F14" s="10" t="s">
        <v>15</v>
      </c>
      <c r="G14">
        <v>3000</v>
      </c>
      <c r="H14" s="10" t="s">
        <v>16</v>
      </c>
      <c r="J14" s="9" t="s">
        <v>61</v>
      </c>
      <c r="K14" s="10"/>
      <c r="L14" s="10">
        <v>1</v>
      </c>
      <c r="M14" s="10"/>
      <c r="N14" s="10">
        <v>1</v>
      </c>
      <c r="P14" s="9" t="s">
        <v>61</v>
      </c>
      <c r="Q14" s="10">
        <v>1</v>
      </c>
      <c r="R14" s="10">
        <v>1000</v>
      </c>
    </row>
    <row r="15" spans="2:18" x14ac:dyDescent="0.25">
      <c r="B15" s="10" t="s">
        <v>65</v>
      </c>
      <c r="C15" s="6">
        <v>46147</v>
      </c>
      <c r="D15" s="10" t="s">
        <v>8</v>
      </c>
      <c r="E15" s="10" t="s">
        <v>9</v>
      </c>
      <c r="F15" s="10" t="s">
        <v>10</v>
      </c>
      <c r="G15">
        <v>10000</v>
      </c>
      <c r="H15" s="10" t="s">
        <v>11</v>
      </c>
      <c r="J15" s="9" t="s">
        <v>64</v>
      </c>
      <c r="K15" s="10"/>
      <c r="L15" s="10"/>
      <c r="M15" s="10">
        <v>1</v>
      </c>
      <c r="N15" s="10">
        <v>1</v>
      </c>
      <c r="P15" s="9" t="s">
        <v>64</v>
      </c>
      <c r="Q15" s="10">
        <v>1</v>
      </c>
      <c r="R15" s="10">
        <v>3000</v>
      </c>
    </row>
    <row r="16" spans="2:18" x14ac:dyDescent="0.25">
      <c r="B16" s="10" t="s">
        <v>66</v>
      </c>
      <c r="C16" s="6">
        <v>46148</v>
      </c>
      <c r="D16" s="10" t="s">
        <v>67</v>
      </c>
      <c r="E16" s="10" t="s">
        <v>19</v>
      </c>
      <c r="F16" s="10" t="s">
        <v>26</v>
      </c>
      <c r="G16">
        <v>18000</v>
      </c>
      <c r="H16" s="10" t="s">
        <v>20</v>
      </c>
      <c r="J16" s="9" t="s">
        <v>67</v>
      </c>
      <c r="K16" s="10">
        <v>1</v>
      </c>
      <c r="L16" s="10"/>
      <c r="M16" s="10"/>
      <c r="N16" s="10">
        <v>1</v>
      </c>
      <c r="P16" s="9" t="s">
        <v>67</v>
      </c>
      <c r="Q16" s="10">
        <v>1</v>
      </c>
      <c r="R16" s="10">
        <v>18000</v>
      </c>
    </row>
    <row r="17" spans="2:20" x14ac:dyDescent="0.25">
      <c r="B17" s="10" t="s">
        <v>68</v>
      </c>
      <c r="C17" s="6">
        <v>46148</v>
      </c>
      <c r="D17" s="10" t="s">
        <v>8</v>
      </c>
      <c r="E17" s="10" t="s">
        <v>9</v>
      </c>
      <c r="F17" s="10" t="s">
        <v>26</v>
      </c>
      <c r="G17">
        <v>18000</v>
      </c>
      <c r="H17" s="10" t="s">
        <v>11</v>
      </c>
      <c r="J17" s="9" t="s">
        <v>40</v>
      </c>
      <c r="K17" s="10">
        <v>4</v>
      </c>
      <c r="L17" s="10">
        <v>8</v>
      </c>
      <c r="M17" s="10">
        <v>3</v>
      </c>
      <c r="N17" s="10">
        <v>15</v>
      </c>
      <c r="P17" s="9" t="s">
        <v>40</v>
      </c>
      <c r="Q17" s="10">
        <v>15</v>
      </c>
      <c r="R17" s="10">
        <v>167000</v>
      </c>
    </row>
    <row r="19" spans="2:20" x14ac:dyDescent="0.25">
      <c r="F19" s="9"/>
      <c r="G19" s="10"/>
      <c r="H19" s="10"/>
      <c r="I19" s="10"/>
      <c r="J19" s="10"/>
    </row>
    <row r="20" spans="2:20" ht="30" x14ac:dyDescent="0.25">
      <c r="C20" s="22" t="s">
        <v>42</v>
      </c>
    </row>
    <row r="21" spans="2:20" ht="70.5" customHeight="1" x14ac:dyDescent="0.25">
      <c r="C21" s="24" t="s">
        <v>8</v>
      </c>
      <c r="E21" t="s">
        <v>13</v>
      </c>
      <c r="G21" t="s">
        <v>52</v>
      </c>
      <c r="I21" t="s">
        <v>54</v>
      </c>
      <c r="K21" t="s">
        <v>58</v>
      </c>
      <c r="M21" t="s">
        <v>61</v>
      </c>
      <c r="O21" t="s">
        <v>64</v>
      </c>
      <c r="Q21" t="s">
        <v>67</v>
      </c>
      <c r="S21" s="21" t="s">
        <v>69</v>
      </c>
      <c r="T21" s="21" t="s">
        <v>70</v>
      </c>
    </row>
    <row r="22" spans="2:20" s="21" customFormat="1" ht="39" customHeight="1" x14ac:dyDescent="0.25">
      <c r="B22" s="22" t="s">
        <v>38</v>
      </c>
      <c r="C22" s="21" t="s">
        <v>39</v>
      </c>
      <c r="D22" s="21" t="s">
        <v>41</v>
      </c>
      <c r="E22" s="21" t="s">
        <v>39</v>
      </c>
      <c r="F22" s="21" t="s">
        <v>41</v>
      </c>
      <c r="G22" s="21" t="s">
        <v>39</v>
      </c>
      <c r="H22" s="21" t="s">
        <v>41</v>
      </c>
      <c r="I22" s="21" t="s">
        <v>39</v>
      </c>
      <c r="J22" s="21" t="s">
        <v>41</v>
      </c>
      <c r="K22" s="21" t="s">
        <v>39</v>
      </c>
      <c r="L22" s="21" t="s">
        <v>41</v>
      </c>
      <c r="M22" s="21" t="s">
        <v>39</v>
      </c>
      <c r="N22" s="21" t="s">
        <v>41</v>
      </c>
      <c r="O22" s="21" t="s">
        <v>39</v>
      </c>
      <c r="P22" s="21" t="s">
        <v>41</v>
      </c>
      <c r="Q22" s="21" t="s">
        <v>39</v>
      </c>
      <c r="R22" s="21" t="s">
        <v>41</v>
      </c>
    </row>
    <row r="23" spans="2:20" x14ac:dyDescent="0.25">
      <c r="B23" s="19">
        <v>46146</v>
      </c>
      <c r="C23" s="23">
        <v>2</v>
      </c>
      <c r="D23" s="23">
        <v>28000</v>
      </c>
      <c r="E23" s="10">
        <v>1</v>
      </c>
      <c r="F23" s="10">
        <v>3000</v>
      </c>
      <c r="G23" s="10">
        <v>1</v>
      </c>
      <c r="H23" s="10">
        <v>1000</v>
      </c>
      <c r="I23" s="10">
        <v>1</v>
      </c>
      <c r="J23" s="10">
        <v>18000</v>
      </c>
      <c r="K23" s="10"/>
      <c r="L23" s="10"/>
      <c r="M23" s="10"/>
      <c r="N23" s="10"/>
      <c r="O23" s="10"/>
      <c r="P23" s="10"/>
      <c r="Q23" s="10"/>
      <c r="R23" s="10"/>
      <c r="S23" s="10">
        <v>5</v>
      </c>
      <c r="T23" s="10">
        <v>50000</v>
      </c>
    </row>
    <row r="24" spans="2:20" x14ac:dyDescent="0.25">
      <c r="B24" s="19">
        <v>46147</v>
      </c>
      <c r="C24" s="25">
        <v>4</v>
      </c>
      <c r="D24" s="25">
        <v>64000</v>
      </c>
      <c r="E24" s="10">
        <v>1</v>
      </c>
      <c r="F24" s="10">
        <v>3000</v>
      </c>
      <c r="G24" s="10"/>
      <c r="H24" s="10"/>
      <c r="I24" s="10"/>
      <c r="J24" s="10"/>
      <c r="K24" s="10">
        <v>1</v>
      </c>
      <c r="L24" s="10">
        <v>10000</v>
      </c>
      <c r="M24" s="10">
        <v>1</v>
      </c>
      <c r="N24" s="10">
        <v>1000</v>
      </c>
      <c r="O24" s="10">
        <v>1</v>
      </c>
      <c r="P24" s="10">
        <v>3000</v>
      </c>
      <c r="Q24" s="10"/>
      <c r="R24" s="10"/>
      <c r="S24" s="10">
        <v>8</v>
      </c>
      <c r="T24" s="10">
        <v>81000</v>
      </c>
    </row>
    <row r="25" spans="2:20" x14ac:dyDescent="0.25">
      <c r="B25" s="19">
        <v>46148</v>
      </c>
      <c r="C25" s="10">
        <v>1</v>
      </c>
      <c r="D25" s="10">
        <v>18000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>
        <v>1</v>
      </c>
      <c r="R25" s="10">
        <v>18000</v>
      </c>
      <c r="S25" s="10">
        <v>2</v>
      </c>
      <c r="T25" s="10">
        <v>36000</v>
      </c>
    </row>
    <row r="26" spans="2:20" x14ac:dyDescent="0.25">
      <c r="B26" s="19" t="s">
        <v>40</v>
      </c>
      <c r="C26" s="10">
        <v>7</v>
      </c>
      <c r="D26" s="10">
        <v>110000</v>
      </c>
      <c r="E26" s="10">
        <v>2</v>
      </c>
      <c r="F26" s="10">
        <v>6000</v>
      </c>
      <c r="G26" s="10">
        <v>1</v>
      </c>
      <c r="H26" s="10">
        <v>1000</v>
      </c>
      <c r="I26" s="10">
        <v>1</v>
      </c>
      <c r="J26" s="10">
        <v>18000</v>
      </c>
      <c r="K26" s="10">
        <v>1</v>
      </c>
      <c r="L26" s="10">
        <v>10000</v>
      </c>
      <c r="M26" s="10">
        <v>1</v>
      </c>
      <c r="N26" s="10">
        <v>1000</v>
      </c>
      <c r="O26" s="10">
        <v>1</v>
      </c>
      <c r="P26" s="10">
        <v>3000</v>
      </c>
      <c r="Q26" s="10">
        <v>1</v>
      </c>
      <c r="R26" s="10">
        <v>18000</v>
      </c>
      <c r="S26" s="10">
        <v>15</v>
      </c>
      <c r="T26" s="10">
        <v>167000</v>
      </c>
    </row>
  </sheetData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4B5B-E13D-448C-A67F-DA6B2EEDCE5C}">
  <dimension ref="B2:P20"/>
  <sheetViews>
    <sheetView zoomScale="110" zoomScaleNormal="110" workbookViewId="0">
      <selection activeCell="K23" sqref="K23"/>
    </sheetView>
  </sheetViews>
  <sheetFormatPr baseColWidth="10" defaultRowHeight="15" x14ac:dyDescent="0.25"/>
  <cols>
    <col min="1" max="1" width="4.85546875" customWidth="1"/>
    <col min="2" max="2" width="21.42578125" bestFit="1" customWidth="1"/>
    <col min="3" max="3" width="24.42578125" bestFit="1" customWidth="1"/>
    <col min="4" max="5" width="7.28515625" bestFit="1" customWidth="1"/>
    <col min="6" max="6" width="12.7109375" customWidth="1"/>
    <col min="7" max="7" width="10.85546875" customWidth="1"/>
    <col min="8" max="8" width="12.5703125" bestFit="1" customWidth="1"/>
    <col min="10" max="10" width="12.7109375" bestFit="1" customWidth="1"/>
    <col min="11" max="12" width="11.140625" bestFit="1" customWidth="1"/>
    <col min="14" max="14" width="12.7109375" bestFit="1" customWidth="1"/>
    <col min="15" max="16" width="11.140625" bestFit="1" customWidth="1"/>
  </cols>
  <sheetData>
    <row r="2" spans="2:16" x14ac:dyDescent="0.25">
      <c r="B2" t="s">
        <v>0</v>
      </c>
      <c r="C2" t="s">
        <v>1</v>
      </c>
      <c r="D2" t="s">
        <v>81</v>
      </c>
      <c r="E2" t="s">
        <v>2</v>
      </c>
      <c r="F2" t="s">
        <v>3</v>
      </c>
      <c r="G2" t="s">
        <v>4</v>
      </c>
      <c r="H2" t="s">
        <v>5</v>
      </c>
      <c r="J2" s="16" t="s">
        <v>117</v>
      </c>
      <c r="K2" s="16"/>
      <c r="L2" s="16"/>
      <c r="N2" s="16" t="s">
        <v>118</v>
      </c>
      <c r="O2" s="16"/>
      <c r="P2" s="16"/>
    </row>
    <row r="3" spans="2:16" ht="45" x14ac:dyDescent="0.25">
      <c r="B3" s="10" t="s">
        <v>82</v>
      </c>
      <c r="C3" s="6">
        <v>46149</v>
      </c>
      <c r="D3" s="10" t="s">
        <v>83</v>
      </c>
      <c r="E3" s="10" t="s">
        <v>84</v>
      </c>
      <c r="F3" s="10" t="s">
        <v>9</v>
      </c>
      <c r="G3" s="10" t="s">
        <v>26</v>
      </c>
      <c r="H3">
        <v>18000</v>
      </c>
      <c r="J3" s="22" t="s">
        <v>38</v>
      </c>
      <c r="K3" s="21" t="s">
        <v>39</v>
      </c>
      <c r="L3" s="21" t="s">
        <v>41</v>
      </c>
      <c r="M3" s="21"/>
      <c r="N3" s="22" t="s">
        <v>38</v>
      </c>
      <c r="O3" s="21" t="s">
        <v>39</v>
      </c>
      <c r="P3" s="21" t="s">
        <v>41</v>
      </c>
    </row>
    <row r="4" spans="2:16" x14ac:dyDescent="0.25">
      <c r="B4" s="10" t="s">
        <v>85</v>
      </c>
      <c r="C4" s="6">
        <v>46149</v>
      </c>
      <c r="D4" s="10" t="s">
        <v>86</v>
      </c>
      <c r="E4" s="10" t="s">
        <v>87</v>
      </c>
      <c r="F4" s="10" t="s">
        <v>14</v>
      </c>
      <c r="G4" s="10" t="s">
        <v>15</v>
      </c>
      <c r="H4">
        <v>3000</v>
      </c>
      <c r="J4" s="9" t="s">
        <v>83</v>
      </c>
      <c r="K4" s="10">
        <v>5</v>
      </c>
      <c r="L4" s="10">
        <v>82000</v>
      </c>
      <c r="N4" s="9" t="s">
        <v>9</v>
      </c>
      <c r="O4" s="10">
        <v>5</v>
      </c>
      <c r="P4" s="10">
        <v>82000</v>
      </c>
    </row>
    <row r="5" spans="2:16" x14ac:dyDescent="0.25">
      <c r="B5" s="10" t="s">
        <v>88</v>
      </c>
      <c r="C5" s="6">
        <v>46149</v>
      </c>
      <c r="D5" s="10" t="s">
        <v>83</v>
      </c>
      <c r="E5" s="10" t="s">
        <v>89</v>
      </c>
      <c r="F5" s="10" t="s">
        <v>9</v>
      </c>
      <c r="G5" s="10" t="s">
        <v>10</v>
      </c>
      <c r="H5">
        <v>10000</v>
      </c>
      <c r="J5" s="9" t="s">
        <v>94</v>
      </c>
      <c r="K5" s="10">
        <v>2</v>
      </c>
      <c r="L5" s="10">
        <v>36000</v>
      </c>
      <c r="N5" s="9" t="s">
        <v>25</v>
      </c>
      <c r="O5" s="10">
        <v>2</v>
      </c>
      <c r="P5" s="10">
        <v>36000</v>
      </c>
    </row>
    <row r="6" spans="2:16" x14ac:dyDescent="0.25">
      <c r="B6" s="10" t="s">
        <v>90</v>
      </c>
      <c r="C6" s="6">
        <v>46149</v>
      </c>
      <c r="D6" s="10" t="s">
        <v>91</v>
      </c>
      <c r="E6" s="10" t="s">
        <v>92</v>
      </c>
      <c r="F6" s="10" t="s">
        <v>31</v>
      </c>
      <c r="G6" s="10" t="s">
        <v>22</v>
      </c>
      <c r="H6">
        <v>1000</v>
      </c>
      <c r="J6" s="9" t="s">
        <v>105</v>
      </c>
      <c r="K6" s="10">
        <v>2</v>
      </c>
      <c r="L6" s="10">
        <v>20000</v>
      </c>
      <c r="N6" s="9" t="s">
        <v>19</v>
      </c>
      <c r="O6" s="10">
        <v>2</v>
      </c>
      <c r="P6" s="10">
        <v>20000</v>
      </c>
    </row>
    <row r="7" spans="2:16" x14ac:dyDescent="0.25">
      <c r="B7" s="10" t="s">
        <v>93</v>
      </c>
      <c r="C7" s="6">
        <v>46149</v>
      </c>
      <c r="D7" s="10" t="s">
        <v>94</v>
      </c>
      <c r="E7" s="10" t="s">
        <v>95</v>
      </c>
      <c r="F7" s="10" t="s">
        <v>25</v>
      </c>
      <c r="G7" s="10" t="s">
        <v>26</v>
      </c>
      <c r="H7">
        <v>18000</v>
      </c>
      <c r="J7" s="26" t="s">
        <v>86</v>
      </c>
      <c r="K7" s="10">
        <v>3</v>
      </c>
      <c r="L7" s="10">
        <v>9000</v>
      </c>
      <c r="N7" s="9" t="s">
        <v>14</v>
      </c>
      <c r="O7" s="10">
        <v>3</v>
      </c>
      <c r="P7" s="10">
        <v>9000</v>
      </c>
    </row>
    <row r="8" spans="2:16" x14ac:dyDescent="0.25">
      <c r="B8" s="10" t="s">
        <v>96</v>
      </c>
      <c r="C8" s="6">
        <v>46150</v>
      </c>
      <c r="D8" s="10" t="s">
        <v>83</v>
      </c>
      <c r="E8" s="10" t="s">
        <v>97</v>
      </c>
      <c r="F8" s="10" t="s">
        <v>9</v>
      </c>
      <c r="G8" s="10" t="s">
        <v>26</v>
      </c>
      <c r="H8">
        <v>18000</v>
      </c>
      <c r="J8" s="26" t="s">
        <v>91</v>
      </c>
      <c r="K8" s="10">
        <v>3</v>
      </c>
      <c r="L8" s="10">
        <v>3000</v>
      </c>
      <c r="N8" s="9" t="s">
        <v>31</v>
      </c>
      <c r="O8" s="10">
        <v>3</v>
      </c>
      <c r="P8" s="10">
        <v>3000</v>
      </c>
    </row>
    <row r="9" spans="2:16" x14ac:dyDescent="0.25">
      <c r="B9" s="10" t="s">
        <v>98</v>
      </c>
      <c r="C9" s="6">
        <v>46150</v>
      </c>
      <c r="D9" s="10" t="s">
        <v>86</v>
      </c>
      <c r="E9" s="10" t="s">
        <v>99</v>
      </c>
      <c r="F9" s="10" t="s">
        <v>14</v>
      </c>
      <c r="G9" s="10" t="s">
        <v>15</v>
      </c>
      <c r="H9">
        <v>3000</v>
      </c>
      <c r="J9" s="9" t="s">
        <v>40</v>
      </c>
      <c r="K9" s="10">
        <v>15</v>
      </c>
      <c r="L9" s="10">
        <v>150000</v>
      </c>
      <c r="N9" s="9" t="s">
        <v>40</v>
      </c>
      <c r="O9" s="10">
        <v>15</v>
      </c>
      <c r="P9" s="10">
        <v>150000</v>
      </c>
    </row>
    <row r="10" spans="2:16" x14ac:dyDescent="0.25">
      <c r="B10" s="10" t="s">
        <v>100</v>
      </c>
      <c r="C10" s="6">
        <v>46150</v>
      </c>
      <c r="D10" s="10" t="s">
        <v>91</v>
      </c>
      <c r="E10" s="10" t="s">
        <v>101</v>
      </c>
      <c r="F10" s="10" t="s">
        <v>31</v>
      </c>
      <c r="G10" s="10" t="s">
        <v>22</v>
      </c>
      <c r="H10">
        <v>1000</v>
      </c>
    </row>
    <row r="11" spans="2:16" x14ac:dyDescent="0.25">
      <c r="B11" s="10" t="s">
        <v>102</v>
      </c>
      <c r="C11" s="6">
        <v>46150</v>
      </c>
      <c r="D11" s="10" t="s">
        <v>83</v>
      </c>
      <c r="E11" s="10" t="s">
        <v>103</v>
      </c>
      <c r="F11" s="10" t="s">
        <v>9</v>
      </c>
      <c r="G11" s="10" t="s">
        <v>26</v>
      </c>
      <c r="H11">
        <v>18000</v>
      </c>
      <c r="J11" s="8" t="s">
        <v>41</v>
      </c>
      <c r="K11" s="8" t="s">
        <v>42</v>
      </c>
    </row>
    <row r="12" spans="2:16" x14ac:dyDescent="0.25">
      <c r="B12" s="10" t="s">
        <v>104</v>
      </c>
      <c r="C12" s="6">
        <v>46150</v>
      </c>
      <c r="D12" s="10" t="s">
        <v>105</v>
      </c>
      <c r="E12" s="10" t="s">
        <v>106</v>
      </c>
      <c r="F12" s="10" t="s">
        <v>19</v>
      </c>
      <c r="G12" s="10" t="s">
        <v>10</v>
      </c>
      <c r="H12">
        <v>10000</v>
      </c>
      <c r="J12" s="8" t="s">
        <v>38</v>
      </c>
      <c r="K12" t="s">
        <v>9</v>
      </c>
      <c r="L12" t="s">
        <v>14</v>
      </c>
      <c r="M12" t="s">
        <v>31</v>
      </c>
      <c r="N12" t="s">
        <v>19</v>
      </c>
      <c r="O12" t="s">
        <v>25</v>
      </c>
      <c r="P12" t="s">
        <v>40</v>
      </c>
    </row>
    <row r="13" spans="2:16" x14ac:dyDescent="0.25">
      <c r="B13" s="10" t="s">
        <v>107</v>
      </c>
      <c r="C13" s="6">
        <v>46151</v>
      </c>
      <c r="D13" s="10" t="s">
        <v>83</v>
      </c>
      <c r="E13" s="10" t="s">
        <v>108</v>
      </c>
      <c r="F13" s="10" t="s">
        <v>9</v>
      </c>
      <c r="G13" s="10" t="s">
        <v>26</v>
      </c>
      <c r="H13">
        <v>18000</v>
      </c>
      <c r="J13" s="9" t="s">
        <v>26</v>
      </c>
      <c r="K13" s="10">
        <v>72000</v>
      </c>
      <c r="L13" s="10"/>
      <c r="M13" s="10"/>
      <c r="N13" s="10"/>
      <c r="O13" s="10">
        <v>36000</v>
      </c>
      <c r="P13" s="10">
        <v>108000</v>
      </c>
    </row>
    <row r="14" spans="2:16" x14ac:dyDescent="0.25">
      <c r="B14" s="10" t="s">
        <v>109</v>
      </c>
      <c r="C14" s="6">
        <v>46151</v>
      </c>
      <c r="D14" s="10" t="s">
        <v>86</v>
      </c>
      <c r="E14" s="10" t="s">
        <v>110</v>
      </c>
      <c r="F14" s="10" t="s">
        <v>14</v>
      </c>
      <c r="G14" s="10" t="s">
        <v>15</v>
      </c>
      <c r="H14">
        <v>3000</v>
      </c>
      <c r="J14" s="9" t="s">
        <v>10</v>
      </c>
      <c r="K14" s="10">
        <v>10000</v>
      </c>
      <c r="L14" s="10"/>
      <c r="M14" s="10"/>
      <c r="N14" s="10">
        <v>20000</v>
      </c>
      <c r="O14" s="10"/>
      <c r="P14" s="10">
        <v>30000</v>
      </c>
    </row>
    <row r="15" spans="2:16" x14ac:dyDescent="0.25">
      <c r="B15" s="10" t="s">
        <v>111</v>
      </c>
      <c r="C15" s="6">
        <v>46151</v>
      </c>
      <c r="D15" s="10" t="s">
        <v>91</v>
      </c>
      <c r="E15" s="10" t="s">
        <v>112</v>
      </c>
      <c r="F15" s="10" t="s">
        <v>31</v>
      </c>
      <c r="G15" s="10" t="s">
        <v>22</v>
      </c>
      <c r="H15">
        <v>1000</v>
      </c>
      <c r="J15" s="9" t="s">
        <v>22</v>
      </c>
      <c r="K15" s="10"/>
      <c r="L15" s="10"/>
      <c r="M15" s="10">
        <v>3000</v>
      </c>
      <c r="N15" s="10"/>
      <c r="O15" s="10"/>
      <c r="P15" s="10">
        <v>3000</v>
      </c>
    </row>
    <row r="16" spans="2:16" x14ac:dyDescent="0.25">
      <c r="B16" s="10" t="s">
        <v>113</v>
      </c>
      <c r="C16" s="6">
        <v>46151</v>
      </c>
      <c r="D16" s="10" t="s">
        <v>94</v>
      </c>
      <c r="E16" s="10" t="s">
        <v>114</v>
      </c>
      <c r="F16" s="10" t="s">
        <v>25</v>
      </c>
      <c r="G16" s="10" t="s">
        <v>26</v>
      </c>
      <c r="H16">
        <v>18000</v>
      </c>
      <c r="J16" s="9" t="s">
        <v>15</v>
      </c>
      <c r="K16" s="10"/>
      <c r="L16" s="10">
        <v>9000</v>
      </c>
      <c r="M16" s="10"/>
      <c r="N16" s="10"/>
      <c r="O16" s="10"/>
      <c r="P16" s="10">
        <v>9000</v>
      </c>
    </row>
    <row r="17" spans="2:16" x14ac:dyDescent="0.25">
      <c r="B17" s="10" t="s">
        <v>115</v>
      </c>
      <c r="C17" s="6">
        <v>46151</v>
      </c>
      <c r="D17" s="10" t="s">
        <v>105</v>
      </c>
      <c r="E17" s="10" t="s">
        <v>116</v>
      </c>
      <c r="F17" s="10" t="s">
        <v>19</v>
      </c>
      <c r="G17" s="10" t="s">
        <v>10</v>
      </c>
      <c r="H17">
        <v>10000</v>
      </c>
      <c r="J17" s="9" t="s">
        <v>40</v>
      </c>
      <c r="K17" s="10">
        <v>82000</v>
      </c>
      <c r="L17" s="10">
        <v>9000</v>
      </c>
      <c r="M17" s="10">
        <v>3000</v>
      </c>
      <c r="N17" s="10">
        <v>20000</v>
      </c>
      <c r="O17" s="10">
        <v>36000</v>
      </c>
      <c r="P17" s="10">
        <v>150000</v>
      </c>
    </row>
    <row r="20" spans="2:16" s="21" customFormat="1" ht="27.75" customHeight="1" x14ac:dyDescent="0.25">
      <c r="B20"/>
      <c r="C20"/>
      <c r="D20"/>
    </row>
  </sheetData>
  <mergeCells count="2">
    <mergeCell ref="J2:L2"/>
    <mergeCell ref="N2:P2"/>
  </mergeCells>
  <conditionalFormatting pivot="1" sqref="L4:L8">
    <cfRule type="cellIs" dxfId="9" priority="5" operator="lessThan">
      <formula>10000</formula>
    </cfRule>
  </conditionalFormatting>
  <conditionalFormatting pivot="1" sqref="P4:P8">
    <cfRule type="cellIs" dxfId="8" priority="4" operator="lessThan">
      <formula>$Q$4</formula>
    </cfRule>
  </conditionalFormatting>
  <conditionalFormatting pivot="1" sqref="P4:P9">
    <cfRule type="cellIs" dxfId="7" priority="3" operator="lessThan">
      <formula>30000</formula>
    </cfRule>
  </conditionalFormatting>
  <conditionalFormatting sqref="J7:J8">
    <cfRule type="cellIs" dxfId="5" priority="1" operator="lessThan">
      <formula>10000</formula>
    </cfRule>
  </conditionalFormatting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1EC8-C861-4E54-B5F8-83B9BDC7AB04}">
  <dimension ref="B2:AA29"/>
  <sheetViews>
    <sheetView workbookViewId="0">
      <selection activeCell="H13" sqref="H13"/>
    </sheetView>
  </sheetViews>
  <sheetFormatPr baseColWidth="10" defaultRowHeight="15" x14ac:dyDescent="0.25"/>
  <cols>
    <col min="1" max="1" width="3.7109375" customWidth="1"/>
    <col min="2" max="2" width="15.5703125" customWidth="1"/>
    <col min="3" max="3" width="14.140625" customWidth="1"/>
    <col min="4" max="4" width="21.42578125" bestFit="1" customWidth="1"/>
    <col min="5" max="5" width="18.5703125" customWidth="1"/>
    <col min="6" max="6" width="14.42578125" customWidth="1"/>
    <col min="7" max="7" width="13.42578125" bestFit="1" customWidth="1"/>
    <col min="8" max="8" width="14.42578125" customWidth="1"/>
    <col min="9" max="9" width="21.42578125" bestFit="1" customWidth="1"/>
    <col min="10" max="10" width="13.140625" customWidth="1"/>
    <col min="11" max="11" width="5" bestFit="1" customWidth="1"/>
    <col min="12" max="13" width="6" bestFit="1" customWidth="1"/>
    <col min="14" max="14" width="5" bestFit="1" customWidth="1"/>
    <col min="15" max="16" width="6" bestFit="1" customWidth="1"/>
    <col min="17" max="18" width="5" bestFit="1" customWidth="1"/>
    <col min="19" max="20" width="6" bestFit="1" customWidth="1"/>
    <col min="21" max="21" width="5" bestFit="1" customWidth="1"/>
    <col min="22" max="23" width="6" bestFit="1" customWidth="1"/>
    <col min="24" max="24" width="5" bestFit="1" customWidth="1"/>
    <col min="25" max="25" width="7.7109375" bestFit="1" customWidth="1"/>
    <col min="26" max="26" width="1" customWidth="1"/>
    <col min="27" max="27" width="15.42578125" customWidth="1"/>
    <col min="28" max="28" width="10.85546875" bestFit="1" customWidth="1"/>
    <col min="29" max="29" width="7.7109375" bestFit="1" customWidth="1"/>
  </cols>
  <sheetData>
    <row r="2" spans="2:2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s="8" t="s">
        <v>41</v>
      </c>
      <c r="J2" s="8" t="s">
        <v>42</v>
      </c>
    </row>
    <row r="3" spans="2:27" ht="30" customHeight="1" x14ac:dyDescent="0.25">
      <c r="B3" s="10" t="s">
        <v>119</v>
      </c>
      <c r="C3" s="6">
        <v>46152</v>
      </c>
      <c r="D3" s="10" t="s">
        <v>120</v>
      </c>
      <c r="E3" s="10" t="s">
        <v>9</v>
      </c>
      <c r="F3" s="10" t="s">
        <v>26</v>
      </c>
      <c r="G3">
        <v>18000</v>
      </c>
      <c r="I3" s="22" t="s">
        <v>38</v>
      </c>
      <c r="J3" t="s">
        <v>119</v>
      </c>
      <c r="K3" t="s">
        <v>121</v>
      </c>
      <c r="L3" t="s">
        <v>123</v>
      </c>
      <c r="M3" t="s">
        <v>125</v>
      </c>
      <c r="N3" t="s">
        <v>126</v>
      </c>
      <c r="O3" t="s">
        <v>128</v>
      </c>
      <c r="P3" t="s">
        <v>130</v>
      </c>
      <c r="Q3" t="s">
        <v>131</v>
      </c>
      <c r="R3" t="s">
        <v>132</v>
      </c>
      <c r="S3" t="s">
        <v>134</v>
      </c>
      <c r="T3" t="s">
        <v>135</v>
      </c>
      <c r="U3" t="s">
        <v>136</v>
      </c>
      <c r="V3" t="s">
        <v>138</v>
      </c>
      <c r="W3" t="s">
        <v>139</v>
      </c>
      <c r="X3" t="s">
        <v>141</v>
      </c>
      <c r="Y3" s="21" t="s">
        <v>40</v>
      </c>
      <c r="AA3" s="29" t="s">
        <v>142</v>
      </c>
    </row>
    <row r="4" spans="2:27" x14ac:dyDescent="0.25">
      <c r="B4" s="10" t="s">
        <v>121</v>
      </c>
      <c r="C4" s="6">
        <v>46152</v>
      </c>
      <c r="D4" s="10" t="s">
        <v>122</v>
      </c>
      <c r="E4" s="10" t="s">
        <v>14</v>
      </c>
      <c r="F4" s="10" t="s">
        <v>15</v>
      </c>
      <c r="G4">
        <v>3000</v>
      </c>
      <c r="I4" s="9" t="s">
        <v>120</v>
      </c>
      <c r="J4" s="10">
        <v>18000</v>
      </c>
      <c r="K4" s="10"/>
      <c r="L4" s="10"/>
      <c r="M4" s="10">
        <v>18000</v>
      </c>
      <c r="N4" s="10"/>
      <c r="O4" s="10"/>
      <c r="P4" s="10">
        <v>10000</v>
      </c>
      <c r="Q4" s="10"/>
      <c r="R4" s="10"/>
      <c r="S4" s="10">
        <v>18000</v>
      </c>
      <c r="T4" s="10"/>
      <c r="U4" s="10"/>
      <c r="V4" s="10">
        <v>18000</v>
      </c>
      <c r="W4" s="10"/>
      <c r="X4" s="10"/>
      <c r="Y4" s="10">
        <v>82000</v>
      </c>
      <c r="AA4">
        <f>AVERAGE(J4:X4)</f>
        <v>16400</v>
      </c>
    </row>
    <row r="5" spans="2:27" x14ac:dyDescent="0.25">
      <c r="B5" s="10" t="s">
        <v>123</v>
      </c>
      <c r="C5" s="6">
        <v>46152</v>
      </c>
      <c r="D5" s="10" t="s">
        <v>124</v>
      </c>
      <c r="E5" s="10" t="s">
        <v>19</v>
      </c>
      <c r="F5" s="10" t="s">
        <v>10</v>
      </c>
      <c r="G5">
        <v>10000</v>
      </c>
      <c r="I5" s="9" t="s">
        <v>122</v>
      </c>
      <c r="J5" s="10"/>
      <c r="K5" s="10">
        <v>3000</v>
      </c>
      <c r="L5" s="10"/>
      <c r="M5" s="10"/>
      <c r="N5" s="10"/>
      <c r="O5" s="10"/>
      <c r="P5" s="10"/>
      <c r="Q5" s="10">
        <v>3000</v>
      </c>
      <c r="R5" s="10"/>
      <c r="S5" s="10"/>
      <c r="T5" s="10"/>
      <c r="U5" s="10"/>
      <c r="V5" s="10"/>
      <c r="W5" s="10"/>
      <c r="X5" s="10">
        <v>3000</v>
      </c>
      <c r="Y5" s="10">
        <v>9000</v>
      </c>
      <c r="AA5">
        <f>AVERAGE(J5:X5)</f>
        <v>3000</v>
      </c>
    </row>
    <row r="6" spans="2:27" x14ac:dyDescent="0.25">
      <c r="B6" s="10" t="s">
        <v>125</v>
      </c>
      <c r="C6" s="6">
        <v>46153</v>
      </c>
      <c r="D6" s="10" t="s">
        <v>120</v>
      </c>
      <c r="E6" s="10" t="s">
        <v>9</v>
      </c>
      <c r="F6" s="10" t="s">
        <v>26</v>
      </c>
      <c r="G6">
        <v>18000</v>
      </c>
      <c r="I6" s="9" t="s">
        <v>124</v>
      </c>
      <c r="J6" s="10"/>
      <c r="K6" s="10"/>
      <c r="L6" s="10">
        <v>10000</v>
      </c>
      <c r="M6" s="10"/>
      <c r="N6" s="10"/>
      <c r="O6" s="10"/>
      <c r="P6" s="10"/>
      <c r="Q6" s="10"/>
      <c r="R6" s="10"/>
      <c r="S6" s="10"/>
      <c r="T6" s="10">
        <v>10000</v>
      </c>
      <c r="U6" s="10"/>
      <c r="V6" s="10"/>
      <c r="W6" s="10"/>
      <c r="X6" s="10"/>
      <c r="Y6" s="10">
        <v>20000</v>
      </c>
      <c r="AA6">
        <f>AVERAGE(J6:X6)</f>
        <v>10000</v>
      </c>
    </row>
    <row r="7" spans="2:27" x14ac:dyDescent="0.25">
      <c r="B7" s="10" t="s">
        <v>126</v>
      </c>
      <c r="C7" s="6">
        <v>46153</v>
      </c>
      <c r="D7" s="10" t="s">
        <v>127</v>
      </c>
      <c r="E7" s="10" t="s">
        <v>31</v>
      </c>
      <c r="F7" s="10" t="s">
        <v>22</v>
      </c>
      <c r="G7">
        <v>1000</v>
      </c>
      <c r="I7" s="9" t="s">
        <v>127</v>
      </c>
      <c r="J7" s="10"/>
      <c r="K7" s="10"/>
      <c r="L7" s="10"/>
      <c r="M7" s="10"/>
      <c r="N7" s="10">
        <v>1000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>
        <v>1000</v>
      </c>
      <c r="AA7">
        <f>AVERAGE(J7:X7)</f>
        <v>1000</v>
      </c>
    </row>
    <row r="8" spans="2:27" x14ac:dyDescent="0.25">
      <c r="B8" s="10" t="s">
        <v>128</v>
      </c>
      <c r="C8" s="6">
        <v>46153</v>
      </c>
      <c r="D8" s="10" t="s">
        <v>129</v>
      </c>
      <c r="E8" s="10" t="s">
        <v>25</v>
      </c>
      <c r="F8" s="10" t="s">
        <v>26</v>
      </c>
      <c r="G8">
        <v>18000</v>
      </c>
      <c r="I8" s="9" t="s">
        <v>129</v>
      </c>
      <c r="J8" s="10"/>
      <c r="K8" s="10"/>
      <c r="L8" s="10"/>
      <c r="M8" s="10"/>
      <c r="N8" s="10"/>
      <c r="O8" s="10">
        <v>18000</v>
      </c>
      <c r="P8" s="10"/>
      <c r="Q8" s="10"/>
      <c r="R8" s="10"/>
      <c r="S8" s="10"/>
      <c r="T8" s="10"/>
      <c r="U8" s="10"/>
      <c r="V8" s="10"/>
      <c r="W8" s="10"/>
      <c r="X8" s="10"/>
      <c r="Y8" s="10">
        <v>18000</v>
      </c>
      <c r="AA8">
        <f>AVERAGE(J8:X8)</f>
        <v>18000</v>
      </c>
    </row>
    <row r="9" spans="2:27" x14ac:dyDescent="0.25">
      <c r="B9" s="10" t="s">
        <v>130</v>
      </c>
      <c r="C9" s="6">
        <v>46154</v>
      </c>
      <c r="D9" s="10" t="s">
        <v>120</v>
      </c>
      <c r="E9" s="10" t="s">
        <v>9</v>
      </c>
      <c r="F9" s="10" t="s">
        <v>10</v>
      </c>
      <c r="G9">
        <v>10000</v>
      </c>
      <c r="I9" s="9" t="s">
        <v>133</v>
      </c>
      <c r="J9" s="10"/>
      <c r="K9" s="10"/>
      <c r="L9" s="10"/>
      <c r="M9" s="10"/>
      <c r="N9" s="10"/>
      <c r="O9" s="10"/>
      <c r="P9" s="10"/>
      <c r="Q9" s="10"/>
      <c r="R9" s="10">
        <v>1000</v>
      </c>
      <c r="S9" s="10"/>
      <c r="T9" s="10"/>
      <c r="U9" s="10"/>
      <c r="V9" s="10"/>
      <c r="W9" s="10"/>
      <c r="X9" s="10"/>
      <c r="Y9" s="10">
        <v>1000</v>
      </c>
      <c r="AA9">
        <f>AVERAGE(J9:X9)</f>
        <v>1000</v>
      </c>
    </row>
    <row r="10" spans="2:27" x14ac:dyDescent="0.25">
      <c r="B10" s="10" t="s">
        <v>131</v>
      </c>
      <c r="C10" s="6">
        <v>46154</v>
      </c>
      <c r="D10" s="10" t="s">
        <v>122</v>
      </c>
      <c r="E10" s="10" t="s">
        <v>14</v>
      </c>
      <c r="F10" s="10" t="s">
        <v>15</v>
      </c>
      <c r="G10">
        <v>3000</v>
      </c>
      <c r="I10" s="9" t="s">
        <v>137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3000</v>
      </c>
      <c r="V10" s="10"/>
      <c r="W10" s="10"/>
      <c r="X10" s="10"/>
      <c r="Y10" s="10">
        <v>3000</v>
      </c>
      <c r="AA10">
        <f>AVERAGE(J10:X10)</f>
        <v>3000</v>
      </c>
    </row>
    <row r="11" spans="2:27" x14ac:dyDescent="0.25">
      <c r="B11" s="10" t="s">
        <v>132</v>
      </c>
      <c r="C11" s="6">
        <v>46154</v>
      </c>
      <c r="D11" s="10" t="s">
        <v>133</v>
      </c>
      <c r="E11" s="10" t="s">
        <v>9</v>
      </c>
      <c r="F11" s="10" t="s">
        <v>22</v>
      </c>
      <c r="G11">
        <v>1000</v>
      </c>
      <c r="I11" s="9" t="s">
        <v>140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18000</v>
      </c>
      <c r="X11" s="10"/>
      <c r="Y11" s="10">
        <v>18000</v>
      </c>
      <c r="AA11">
        <f>AVERAGE(J11:X11)</f>
        <v>18000</v>
      </c>
    </row>
    <row r="12" spans="2:27" x14ac:dyDescent="0.25">
      <c r="B12" s="10" t="s">
        <v>134</v>
      </c>
      <c r="C12" s="6">
        <v>46155</v>
      </c>
      <c r="D12" s="10" t="s">
        <v>120</v>
      </c>
      <c r="E12" s="10" t="s">
        <v>9</v>
      </c>
      <c r="F12" s="10" t="s">
        <v>26</v>
      </c>
      <c r="G12">
        <v>18000</v>
      </c>
      <c r="I12" s="9" t="s">
        <v>40</v>
      </c>
      <c r="J12" s="10">
        <v>18000</v>
      </c>
      <c r="K12" s="10">
        <v>3000</v>
      </c>
      <c r="L12" s="10">
        <v>10000</v>
      </c>
      <c r="M12" s="10">
        <v>18000</v>
      </c>
      <c r="N12" s="10">
        <v>1000</v>
      </c>
      <c r="O12" s="10">
        <v>18000</v>
      </c>
      <c r="P12" s="10">
        <v>10000</v>
      </c>
      <c r="Q12" s="10">
        <v>3000</v>
      </c>
      <c r="R12" s="10">
        <v>1000</v>
      </c>
      <c r="S12" s="10">
        <v>18000</v>
      </c>
      <c r="T12" s="10">
        <v>10000</v>
      </c>
      <c r="U12" s="10">
        <v>3000</v>
      </c>
      <c r="V12" s="10">
        <v>18000</v>
      </c>
      <c r="W12" s="10">
        <v>18000</v>
      </c>
      <c r="X12" s="10">
        <v>3000</v>
      </c>
      <c r="Y12" s="10">
        <v>152000</v>
      </c>
    </row>
    <row r="13" spans="2:27" x14ac:dyDescent="0.25">
      <c r="B13" s="10" t="s">
        <v>135</v>
      </c>
      <c r="C13" s="6">
        <v>46155</v>
      </c>
      <c r="D13" s="10" t="s">
        <v>124</v>
      </c>
      <c r="E13" s="10" t="s">
        <v>19</v>
      </c>
      <c r="F13" s="10" t="s">
        <v>10</v>
      </c>
      <c r="G13">
        <v>10000</v>
      </c>
    </row>
    <row r="14" spans="2:27" x14ac:dyDescent="0.25">
      <c r="B14" s="10" t="s">
        <v>136</v>
      </c>
      <c r="C14" s="6">
        <v>46155</v>
      </c>
      <c r="D14" s="10" t="s">
        <v>137</v>
      </c>
      <c r="E14" s="10" t="s">
        <v>31</v>
      </c>
      <c r="F14" s="10" t="s">
        <v>15</v>
      </c>
      <c r="G14">
        <v>3000</v>
      </c>
    </row>
    <row r="15" spans="2:27" x14ac:dyDescent="0.25">
      <c r="B15" s="10" t="s">
        <v>138</v>
      </c>
      <c r="C15" s="6">
        <v>46156</v>
      </c>
      <c r="D15" s="10" t="s">
        <v>120</v>
      </c>
      <c r="E15" s="10" t="s">
        <v>9</v>
      </c>
      <c r="F15" s="10" t="s">
        <v>26</v>
      </c>
      <c r="G15">
        <v>18000</v>
      </c>
    </row>
    <row r="16" spans="2:27" x14ac:dyDescent="0.25">
      <c r="B16" s="10" t="s">
        <v>139</v>
      </c>
      <c r="C16" s="6">
        <v>46156</v>
      </c>
      <c r="D16" s="10" t="s">
        <v>140</v>
      </c>
      <c r="E16" s="10" t="s">
        <v>25</v>
      </c>
      <c r="F16" s="10" t="s">
        <v>26</v>
      </c>
      <c r="G16">
        <v>18000</v>
      </c>
    </row>
    <row r="17" spans="2:10" x14ac:dyDescent="0.25">
      <c r="B17" s="10" t="s">
        <v>141</v>
      </c>
      <c r="C17" s="6">
        <v>46156</v>
      </c>
      <c r="D17" s="10" t="s">
        <v>122</v>
      </c>
      <c r="E17" s="10" t="s">
        <v>14</v>
      </c>
      <c r="F17" s="10" t="s">
        <v>15</v>
      </c>
      <c r="G17">
        <v>3000</v>
      </c>
    </row>
    <row r="20" spans="2:10" s="21" customFormat="1" ht="34.5" customHeight="1" x14ac:dyDescent="0.25">
      <c r="B20" s="22" t="s">
        <v>38</v>
      </c>
      <c r="C20" s="21" t="s">
        <v>39</v>
      </c>
      <c r="E20" s="22" t="s">
        <v>38</v>
      </c>
      <c r="F20" s="21" t="s">
        <v>39</v>
      </c>
      <c r="H20" s="22" t="s">
        <v>38</v>
      </c>
      <c r="I20" s="21" t="s">
        <v>39</v>
      </c>
      <c r="J20"/>
    </row>
    <row r="21" spans="2:10" x14ac:dyDescent="0.25">
      <c r="B21" s="9" t="s">
        <v>120</v>
      </c>
      <c r="C21" s="10">
        <v>5</v>
      </c>
      <c r="E21" s="9" t="s">
        <v>9</v>
      </c>
      <c r="F21" s="10">
        <v>6</v>
      </c>
      <c r="H21" s="9" t="s">
        <v>26</v>
      </c>
      <c r="I21" s="27">
        <v>6</v>
      </c>
    </row>
    <row r="22" spans="2:10" x14ac:dyDescent="0.25">
      <c r="B22" s="9" t="s">
        <v>122</v>
      </c>
      <c r="C22" s="10">
        <v>3</v>
      </c>
      <c r="E22" s="9" t="s">
        <v>14</v>
      </c>
      <c r="F22" s="10">
        <v>3</v>
      </c>
      <c r="H22" s="9" t="s">
        <v>10</v>
      </c>
      <c r="I22" s="10">
        <v>3</v>
      </c>
    </row>
    <row r="23" spans="2:10" x14ac:dyDescent="0.25">
      <c r="B23" s="9" t="s">
        <v>124</v>
      </c>
      <c r="C23" s="10">
        <v>2</v>
      </c>
      <c r="E23" s="9" t="s">
        <v>31</v>
      </c>
      <c r="F23" s="10">
        <v>2</v>
      </c>
      <c r="H23" s="9" t="s">
        <v>22</v>
      </c>
      <c r="I23" s="10">
        <v>2</v>
      </c>
    </row>
    <row r="24" spans="2:10" x14ac:dyDescent="0.25">
      <c r="B24" s="9" t="s">
        <v>127</v>
      </c>
      <c r="C24" s="10">
        <v>1</v>
      </c>
      <c r="E24" s="9" t="s">
        <v>19</v>
      </c>
      <c r="F24" s="10">
        <v>2</v>
      </c>
      <c r="H24" s="9" t="s">
        <v>15</v>
      </c>
      <c r="I24" s="10">
        <v>4</v>
      </c>
    </row>
    <row r="25" spans="2:10" x14ac:dyDescent="0.25">
      <c r="B25" s="9" t="s">
        <v>129</v>
      </c>
      <c r="C25" s="10">
        <v>1</v>
      </c>
      <c r="E25" s="9" t="s">
        <v>25</v>
      </c>
      <c r="F25" s="10">
        <v>2</v>
      </c>
      <c r="H25" s="9" t="s">
        <v>40</v>
      </c>
      <c r="I25" s="10">
        <v>15</v>
      </c>
    </row>
    <row r="26" spans="2:10" x14ac:dyDescent="0.25">
      <c r="B26" s="9" t="s">
        <v>133</v>
      </c>
      <c r="C26" s="10">
        <v>1</v>
      </c>
      <c r="E26" s="9" t="s">
        <v>40</v>
      </c>
      <c r="F26" s="10">
        <v>15</v>
      </c>
    </row>
    <row r="27" spans="2:10" x14ac:dyDescent="0.25">
      <c r="B27" s="9" t="s">
        <v>137</v>
      </c>
      <c r="C27" s="10">
        <v>1</v>
      </c>
    </row>
    <row r="28" spans="2:10" x14ac:dyDescent="0.25">
      <c r="B28" s="9" t="s">
        <v>140</v>
      </c>
      <c r="C28" s="10">
        <v>1</v>
      </c>
    </row>
    <row r="29" spans="2:10" x14ac:dyDescent="0.25">
      <c r="B29" s="9" t="s">
        <v>40</v>
      </c>
      <c r="C29" s="10">
        <v>15</v>
      </c>
    </row>
  </sheetData>
  <conditionalFormatting sqref="B20:C29">
    <cfRule type="cellIs" dxfId="4" priority="5" operator="lessThan">
      <formula>2</formula>
    </cfRule>
  </conditionalFormatting>
  <conditionalFormatting pivot="1" sqref="F21:F25">
    <cfRule type="cellIs" dxfId="3" priority="4" operator="greaterThan">
      <formula>5</formula>
    </cfRule>
  </conditionalFormatting>
  <conditionalFormatting pivot="1" sqref="F21:F25">
    <cfRule type="cellIs" dxfId="2" priority="3" operator="greaterThan">
      <formula>5</formula>
    </cfRule>
  </conditionalFormatting>
  <conditionalFormatting sqref="AA4:AA11">
    <cfRule type="top10" dxfId="1" priority="1" rank="2"/>
    <cfRule type="top10" dxfId="0" priority="2" rank="2"/>
  </conditionalFormatting>
  <pageMargins left="0.7" right="0.7" top="0.75" bottom="0.75" header="0.3" footer="0.3"/>
  <tableParts count="2"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CB73-66EA-4B00-BC8A-CE0DB78E1AD0}">
  <dimension ref="B2:AL28"/>
  <sheetViews>
    <sheetView workbookViewId="0">
      <selection activeCell="Q13" sqref="Q13"/>
    </sheetView>
  </sheetViews>
  <sheetFormatPr baseColWidth="10" defaultRowHeight="15" x14ac:dyDescent="0.25"/>
  <cols>
    <col min="1" max="1" width="3.28515625" customWidth="1"/>
    <col min="2" max="2" width="16" bestFit="1" customWidth="1"/>
    <col min="3" max="3" width="10.42578125" bestFit="1" customWidth="1"/>
    <col min="4" max="4" width="11" bestFit="1" customWidth="1"/>
    <col min="5" max="5" width="13.140625" bestFit="1" customWidth="1"/>
    <col min="6" max="6" width="10" bestFit="1" customWidth="1"/>
    <col min="7" max="7" width="13.42578125" bestFit="1" customWidth="1"/>
    <col min="8" max="8" width="12.28515625" bestFit="1" customWidth="1"/>
    <col min="9" max="9" width="5.42578125" bestFit="1" customWidth="1"/>
    <col min="10" max="10" width="21.42578125" bestFit="1" customWidth="1"/>
    <col min="11" max="11" width="7" bestFit="1" customWidth="1"/>
    <col min="12" max="12" width="7.5703125" bestFit="1" customWidth="1"/>
    <col min="13" max="13" width="15.7109375" customWidth="1"/>
    <col min="14" max="14" width="11.140625" customWidth="1"/>
    <col min="15" max="15" width="7.85546875" customWidth="1"/>
    <col min="16" max="16" width="8.140625" customWidth="1"/>
    <col min="17" max="17" width="5.85546875" customWidth="1"/>
    <col min="18" max="18" width="7.7109375" customWidth="1"/>
    <col min="19" max="19" width="6.28515625" customWidth="1"/>
    <col min="20" max="20" width="12.28515625" customWidth="1"/>
    <col min="21" max="21" width="3.85546875" customWidth="1"/>
    <col min="22" max="22" width="6.42578125" customWidth="1"/>
    <col min="23" max="23" width="4.28515625" customWidth="1"/>
    <col min="24" max="24" width="7.140625" customWidth="1"/>
    <col min="25" max="25" width="5.28515625" customWidth="1"/>
    <col min="26" max="26" width="6.5703125" customWidth="1"/>
    <col min="27" max="27" width="4.5703125" customWidth="1"/>
    <col min="28" max="28" width="6.28515625" customWidth="1"/>
    <col min="29" max="29" width="4.42578125" customWidth="1"/>
    <col min="30" max="30" width="6.140625" customWidth="1"/>
    <col min="31" max="31" width="4.28515625" customWidth="1"/>
    <col min="32" max="32" width="7.42578125" customWidth="1"/>
    <col min="33" max="33" width="11.5703125" customWidth="1"/>
    <col min="34" max="34" width="7.28515625" bestFit="1" customWidth="1"/>
    <col min="35" max="35" width="10.28515625" bestFit="1" customWidth="1"/>
    <col min="36" max="36" width="7.28515625" bestFit="1" customWidth="1"/>
    <col min="37" max="37" width="10.28515625" bestFit="1" customWidth="1"/>
    <col min="38" max="38" width="12.5703125" bestFit="1" customWidth="1"/>
  </cols>
  <sheetData>
    <row r="2" spans="2:20" s="21" customFormat="1" ht="28.5" customHeight="1" x14ac:dyDescent="0.25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143</v>
      </c>
      <c r="J2" s="22" t="s">
        <v>39</v>
      </c>
      <c r="K2" s="22" t="s">
        <v>42</v>
      </c>
    </row>
    <row r="3" spans="2:20" x14ac:dyDescent="0.25">
      <c r="B3" s="10" t="s">
        <v>144</v>
      </c>
      <c r="C3" s="6">
        <v>46157</v>
      </c>
      <c r="D3" s="10" t="s">
        <v>120</v>
      </c>
      <c r="E3" s="10" t="s">
        <v>9</v>
      </c>
      <c r="F3" s="10" t="s">
        <v>26</v>
      </c>
      <c r="G3">
        <v>18000</v>
      </c>
      <c r="H3" s="10" t="s">
        <v>145</v>
      </c>
      <c r="J3" s="8" t="s">
        <v>176</v>
      </c>
      <c r="K3" t="s">
        <v>120</v>
      </c>
      <c r="L3" t="s">
        <v>122</v>
      </c>
      <c r="M3" t="s">
        <v>124</v>
      </c>
      <c r="N3" t="s">
        <v>129</v>
      </c>
      <c r="O3" t="s">
        <v>153</v>
      </c>
      <c r="P3" t="s">
        <v>155</v>
      </c>
      <c r="Q3" t="s">
        <v>159</v>
      </c>
      <c r="R3" t="s">
        <v>163</v>
      </c>
      <c r="S3" t="s">
        <v>169</v>
      </c>
      <c r="T3" t="s">
        <v>40</v>
      </c>
    </row>
    <row r="4" spans="2:20" x14ac:dyDescent="0.25">
      <c r="B4" s="10" t="s">
        <v>146</v>
      </c>
      <c r="C4" s="6">
        <v>46157</v>
      </c>
      <c r="D4" s="10" t="s">
        <v>122</v>
      </c>
      <c r="E4" s="10" t="s">
        <v>14</v>
      </c>
      <c r="F4" s="10" t="s">
        <v>15</v>
      </c>
      <c r="G4">
        <v>3000</v>
      </c>
      <c r="H4" s="10" t="s">
        <v>145</v>
      </c>
      <c r="J4" s="9" t="s">
        <v>145</v>
      </c>
      <c r="K4" s="10">
        <v>1</v>
      </c>
      <c r="L4" s="10">
        <v>1</v>
      </c>
      <c r="M4" s="10">
        <v>1</v>
      </c>
      <c r="N4" s="10">
        <v>1</v>
      </c>
      <c r="O4" s="10"/>
      <c r="P4" s="10"/>
      <c r="Q4" s="10"/>
      <c r="R4" s="10"/>
      <c r="S4" s="10"/>
      <c r="T4" s="10">
        <v>4</v>
      </c>
    </row>
    <row r="5" spans="2:20" x14ac:dyDescent="0.25">
      <c r="B5" s="10" t="s">
        <v>147</v>
      </c>
      <c r="C5" s="6">
        <v>46157</v>
      </c>
      <c r="D5" s="10" t="s">
        <v>124</v>
      </c>
      <c r="E5" s="10" t="s">
        <v>19</v>
      </c>
      <c r="F5" s="10" t="s">
        <v>10</v>
      </c>
      <c r="G5">
        <v>10000</v>
      </c>
      <c r="H5" s="10" t="s">
        <v>145</v>
      </c>
      <c r="J5" s="9" t="s">
        <v>150</v>
      </c>
      <c r="K5" s="32">
        <v>2</v>
      </c>
      <c r="L5" s="10">
        <v>1</v>
      </c>
      <c r="M5" s="10">
        <v>1</v>
      </c>
      <c r="N5" s="10"/>
      <c r="O5" s="27">
        <v>1</v>
      </c>
      <c r="P5" s="27">
        <v>1</v>
      </c>
      <c r="Q5" s="27">
        <v>1</v>
      </c>
      <c r="R5" s="27">
        <v>1</v>
      </c>
      <c r="S5" s="10"/>
      <c r="T5" s="10">
        <v>8</v>
      </c>
    </row>
    <row r="6" spans="2:20" x14ac:dyDescent="0.25">
      <c r="B6" s="10" t="s">
        <v>148</v>
      </c>
      <c r="C6" s="6">
        <v>46157</v>
      </c>
      <c r="D6" s="10" t="s">
        <v>129</v>
      </c>
      <c r="E6" s="10" t="s">
        <v>25</v>
      </c>
      <c r="F6" s="10" t="s">
        <v>26</v>
      </c>
      <c r="G6">
        <v>18000</v>
      </c>
      <c r="H6" s="10" t="s">
        <v>145</v>
      </c>
      <c r="J6" s="9" t="s">
        <v>166</v>
      </c>
      <c r="K6" s="10">
        <v>1</v>
      </c>
      <c r="L6" s="10">
        <v>1</v>
      </c>
      <c r="M6" s="10"/>
      <c r="N6" s="10"/>
      <c r="O6" s="10"/>
      <c r="P6" s="10"/>
      <c r="Q6" s="10"/>
      <c r="R6" s="10"/>
      <c r="S6" s="27">
        <v>1</v>
      </c>
      <c r="T6" s="10">
        <v>3</v>
      </c>
    </row>
    <row r="7" spans="2:20" x14ac:dyDescent="0.25">
      <c r="B7" s="10" t="s">
        <v>149</v>
      </c>
      <c r="C7" s="6">
        <v>46158</v>
      </c>
      <c r="D7" s="10" t="s">
        <v>120</v>
      </c>
      <c r="E7" s="10" t="s">
        <v>9</v>
      </c>
      <c r="F7" s="10" t="s">
        <v>26</v>
      </c>
      <c r="G7">
        <v>12600</v>
      </c>
      <c r="H7" s="10" t="s">
        <v>150</v>
      </c>
      <c r="J7" s="9" t="s">
        <v>40</v>
      </c>
      <c r="K7" s="10">
        <v>4</v>
      </c>
      <c r="L7" s="10">
        <v>3</v>
      </c>
      <c r="M7" s="10">
        <v>2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15</v>
      </c>
    </row>
    <row r="8" spans="2:20" x14ac:dyDescent="0.25">
      <c r="B8" s="10" t="s">
        <v>151</v>
      </c>
      <c r="C8" s="6">
        <v>46158</v>
      </c>
      <c r="D8" s="10" t="s">
        <v>122</v>
      </c>
      <c r="E8" s="10" t="s">
        <v>14</v>
      </c>
      <c r="F8" s="10" t="s">
        <v>15</v>
      </c>
      <c r="G8">
        <v>3000</v>
      </c>
      <c r="H8" s="10" t="s">
        <v>150</v>
      </c>
      <c r="J8" s="31" t="s">
        <v>171</v>
      </c>
      <c r="K8" s="37" t="s">
        <v>153</v>
      </c>
      <c r="L8" s="37" t="s">
        <v>155</v>
      </c>
      <c r="M8" s="37" t="s">
        <v>159</v>
      </c>
      <c r="N8" s="37" t="s">
        <v>163</v>
      </c>
      <c r="O8" s="37" t="s">
        <v>169</v>
      </c>
    </row>
    <row r="9" spans="2:20" x14ac:dyDescent="0.25">
      <c r="B9" s="10" t="s">
        <v>152</v>
      </c>
      <c r="C9" s="6">
        <v>46158</v>
      </c>
      <c r="D9" s="10" t="s">
        <v>153</v>
      </c>
      <c r="E9" s="10" t="s">
        <v>31</v>
      </c>
      <c r="F9" s="10" t="s">
        <v>26</v>
      </c>
      <c r="G9">
        <v>12600</v>
      </c>
      <c r="H9" s="10" t="s">
        <v>150</v>
      </c>
      <c r="J9" s="33" t="s">
        <v>172</v>
      </c>
      <c r="K9" s="33" t="s">
        <v>120</v>
      </c>
    </row>
    <row r="10" spans="2:20" x14ac:dyDescent="0.25">
      <c r="B10" s="10" t="s">
        <v>154</v>
      </c>
      <c r="C10" s="6">
        <v>46158</v>
      </c>
      <c r="D10" s="10" t="s">
        <v>155</v>
      </c>
      <c r="E10" s="10" t="s">
        <v>156</v>
      </c>
      <c r="F10" s="10" t="s">
        <v>26</v>
      </c>
      <c r="G10">
        <v>12600</v>
      </c>
      <c r="H10" s="10" t="s">
        <v>150</v>
      </c>
    </row>
    <row r="11" spans="2:20" x14ac:dyDescent="0.25">
      <c r="B11" s="10" t="s">
        <v>157</v>
      </c>
      <c r="C11" s="6">
        <v>46159</v>
      </c>
      <c r="D11" s="10" t="s">
        <v>120</v>
      </c>
      <c r="E11" s="10" t="s">
        <v>9</v>
      </c>
      <c r="F11" s="10" t="s">
        <v>26</v>
      </c>
      <c r="G11">
        <v>12600</v>
      </c>
      <c r="H11" s="10" t="s">
        <v>150</v>
      </c>
    </row>
    <row r="12" spans="2:20" x14ac:dyDescent="0.25">
      <c r="B12" s="10" t="s">
        <v>158</v>
      </c>
      <c r="C12" s="6">
        <v>46159</v>
      </c>
      <c r="D12" s="10" t="s">
        <v>159</v>
      </c>
      <c r="E12" s="10" t="s">
        <v>160</v>
      </c>
      <c r="F12" s="10" t="s">
        <v>26</v>
      </c>
      <c r="G12">
        <v>12600</v>
      </c>
      <c r="H12" s="10" t="s">
        <v>150</v>
      </c>
      <c r="J12" s="8" t="s">
        <v>39</v>
      </c>
      <c r="K12" s="8" t="s">
        <v>42</v>
      </c>
    </row>
    <row r="13" spans="2:20" s="21" customFormat="1" ht="27" customHeight="1" x14ac:dyDescent="0.25">
      <c r="B13" s="34" t="s">
        <v>161</v>
      </c>
      <c r="C13" s="35">
        <v>46159</v>
      </c>
      <c r="D13" s="34" t="s">
        <v>124</v>
      </c>
      <c r="E13" s="34" t="s">
        <v>19</v>
      </c>
      <c r="F13" s="34" t="s">
        <v>10</v>
      </c>
      <c r="G13" s="21">
        <v>10000</v>
      </c>
      <c r="H13" s="34" t="s">
        <v>150</v>
      </c>
      <c r="J13" s="22" t="s">
        <v>176</v>
      </c>
      <c r="K13" s="21" t="s">
        <v>160</v>
      </c>
      <c r="L13" s="21" t="s">
        <v>9</v>
      </c>
      <c r="M13" s="21" t="s">
        <v>156</v>
      </c>
      <c r="N13" s="21" t="s">
        <v>14</v>
      </c>
      <c r="O13" s="21" t="s">
        <v>31</v>
      </c>
      <c r="P13" s="21" t="s">
        <v>19</v>
      </c>
      <c r="Q13" s="21" t="s">
        <v>25</v>
      </c>
      <c r="R13" s="21" t="s">
        <v>164</v>
      </c>
      <c r="S13" s="21" t="s">
        <v>170</v>
      </c>
      <c r="T13" s="21" t="s">
        <v>40</v>
      </c>
    </row>
    <row r="14" spans="2:20" x14ac:dyDescent="0.25">
      <c r="B14" s="10" t="s">
        <v>162</v>
      </c>
      <c r="C14" s="6">
        <v>46159</v>
      </c>
      <c r="D14" s="10" t="s">
        <v>163</v>
      </c>
      <c r="E14" s="10" t="s">
        <v>164</v>
      </c>
      <c r="F14" s="10" t="s">
        <v>26</v>
      </c>
      <c r="G14">
        <v>12600</v>
      </c>
      <c r="H14" s="10" t="s">
        <v>150</v>
      </c>
      <c r="J14" s="9" t="s">
        <v>145</v>
      </c>
      <c r="K14" s="10"/>
      <c r="L14" s="10">
        <v>1</v>
      </c>
      <c r="M14" s="10"/>
      <c r="N14" s="10">
        <v>1</v>
      </c>
      <c r="O14" s="10"/>
      <c r="P14" s="10">
        <v>1</v>
      </c>
      <c r="Q14" s="10">
        <v>1</v>
      </c>
      <c r="R14" s="10"/>
      <c r="S14" s="10"/>
      <c r="T14" s="10">
        <v>4</v>
      </c>
    </row>
    <row r="15" spans="2:20" x14ac:dyDescent="0.25">
      <c r="B15" s="10" t="s">
        <v>165</v>
      </c>
      <c r="C15" s="6">
        <v>46160</v>
      </c>
      <c r="D15" s="10" t="s">
        <v>120</v>
      </c>
      <c r="E15" s="10" t="s">
        <v>9</v>
      </c>
      <c r="F15" s="10" t="s">
        <v>26</v>
      </c>
      <c r="G15">
        <v>18000</v>
      </c>
      <c r="H15" s="10" t="s">
        <v>166</v>
      </c>
      <c r="J15" s="9" t="s">
        <v>150</v>
      </c>
      <c r="K15" s="27">
        <v>1</v>
      </c>
      <c r="L15" s="10">
        <v>2</v>
      </c>
      <c r="M15" s="27">
        <v>1</v>
      </c>
      <c r="N15" s="10">
        <v>1</v>
      </c>
      <c r="O15" s="27">
        <v>1</v>
      </c>
      <c r="P15" s="10">
        <v>1</v>
      </c>
      <c r="Q15" s="10"/>
      <c r="R15" s="27">
        <v>1</v>
      </c>
      <c r="S15" s="10"/>
      <c r="T15" s="10">
        <v>8</v>
      </c>
    </row>
    <row r="16" spans="2:20" x14ac:dyDescent="0.25">
      <c r="B16" s="10" t="s">
        <v>167</v>
      </c>
      <c r="C16" s="6">
        <v>46160</v>
      </c>
      <c r="D16" s="10" t="s">
        <v>122</v>
      </c>
      <c r="E16" s="10" t="s">
        <v>14</v>
      </c>
      <c r="F16" s="10" t="s">
        <v>15</v>
      </c>
      <c r="G16">
        <v>3000</v>
      </c>
      <c r="H16" s="10" t="s">
        <v>166</v>
      </c>
      <c r="J16" s="9" t="s">
        <v>166</v>
      </c>
      <c r="K16" s="10"/>
      <c r="L16" s="10">
        <v>1</v>
      </c>
      <c r="M16" s="10"/>
      <c r="N16" s="10">
        <v>1</v>
      </c>
      <c r="O16" s="10"/>
      <c r="P16" s="10"/>
      <c r="Q16" s="10"/>
      <c r="R16" s="10"/>
      <c r="S16" s="27">
        <v>1</v>
      </c>
      <c r="T16" s="10">
        <v>3</v>
      </c>
    </row>
    <row r="17" spans="2:38" x14ac:dyDescent="0.25">
      <c r="B17" s="10" t="s">
        <v>168</v>
      </c>
      <c r="C17" s="6">
        <v>46160</v>
      </c>
      <c r="D17" s="10" t="s">
        <v>169</v>
      </c>
      <c r="E17" s="10" t="s">
        <v>170</v>
      </c>
      <c r="F17" s="10" t="s">
        <v>26</v>
      </c>
      <c r="G17">
        <v>18000</v>
      </c>
      <c r="H17" s="10" t="s">
        <v>166</v>
      </c>
      <c r="J17" s="9" t="s">
        <v>40</v>
      </c>
      <c r="K17" s="10">
        <v>1</v>
      </c>
      <c r="L17" s="10">
        <v>4</v>
      </c>
      <c r="M17" s="10">
        <v>1</v>
      </c>
      <c r="N17" s="10">
        <v>3</v>
      </c>
      <c r="O17" s="10">
        <v>1</v>
      </c>
      <c r="P17" s="10">
        <v>2</v>
      </c>
      <c r="Q17" s="10">
        <v>1</v>
      </c>
      <c r="R17" s="10">
        <v>1</v>
      </c>
      <c r="S17" s="10">
        <v>1</v>
      </c>
      <c r="T17" s="10">
        <v>15</v>
      </c>
    </row>
    <row r="18" spans="2:38" x14ac:dyDescent="0.25">
      <c r="J18" s="31" t="s">
        <v>173</v>
      </c>
    </row>
    <row r="19" spans="2:38" ht="45" x14ac:dyDescent="0.25">
      <c r="M19" s="21"/>
      <c r="N19" s="22" t="s">
        <v>42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2:38" s="21" customFormat="1" ht="29.25" customHeight="1" x14ac:dyDescent="0.25">
      <c r="N20" s="36" t="s">
        <v>120</v>
      </c>
      <c r="O20" s="36"/>
      <c r="P20" s="30" t="s">
        <v>122</v>
      </c>
      <c r="Q20" s="30"/>
      <c r="R20" s="36" t="s">
        <v>124</v>
      </c>
      <c r="S20" s="36"/>
      <c r="T20" s="30" t="s">
        <v>129</v>
      </c>
      <c r="U20" s="30"/>
      <c r="V20" s="36" t="s">
        <v>153</v>
      </c>
      <c r="W20" s="36"/>
      <c r="X20" s="30" t="s">
        <v>155</v>
      </c>
      <c r="Y20" s="30"/>
      <c r="Z20" s="36" t="s">
        <v>159</v>
      </c>
      <c r="AA20" s="36"/>
      <c r="AB20" s="30" t="s">
        <v>163</v>
      </c>
      <c r="AC20" s="30"/>
      <c r="AD20" s="36" t="s">
        <v>169</v>
      </c>
      <c r="AE20" s="36"/>
      <c r="AF20" s="21" t="s">
        <v>70</v>
      </c>
      <c r="AG20" s="21" t="s">
        <v>69</v>
      </c>
      <c r="AH20"/>
      <c r="AI20"/>
      <c r="AJ20"/>
      <c r="AK20"/>
      <c r="AL20"/>
    </row>
    <row r="21" spans="2:38" s="21" customFormat="1" ht="30" customHeight="1" x14ac:dyDescent="0.25">
      <c r="J21" s="22" t="s">
        <v>176</v>
      </c>
      <c r="K21" s="21" t="s">
        <v>37</v>
      </c>
      <c r="M21" s="22" t="s">
        <v>176</v>
      </c>
      <c r="N21" s="21" t="s">
        <v>41</v>
      </c>
      <c r="O21" s="21" t="s">
        <v>39</v>
      </c>
      <c r="P21" s="21" t="s">
        <v>41</v>
      </c>
      <c r="Q21" s="21" t="s">
        <v>39</v>
      </c>
      <c r="R21" s="21" t="s">
        <v>41</v>
      </c>
      <c r="S21" s="21" t="s">
        <v>39</v>
      </c>
      <c r="T21" s="21" t="s">
        <v>41</v>
      </c>
      <c r="U21" s="21" t="s">
        <v>39</v>
      </c>
      <c r="V21" s="21" t="s">
        <v>41</v>
      </c>
      <c r="W21" s="21" t="s">
        <v>39</v>
      </c>
      <c r="X21" s="21" t="s">
        <v>41</v>
      </c>
      <c r="Y21" s="21" t="s">
        <v>39</v>
      </c>
      <c r="Z21" s="21" t="s">
        <v>41</v>
      </c>
      <c r="AA21" s="21" t="s">
        <v>39</v>
      </c>
      <c r="AB21" s="21" t="s">
        <v>41</v>
      </c>
      <c r="AC21" s="21" t="s">
        <v>39</v>
      </c>
      <c r="AD21" s="21" t="s">
        <v>41</v>
      </c>
      <c r="AE21" s="21" t="s">
        <v>39</v>
      </c>
    </row>
    <row r="22" spans="2:38" x14ac:dyDescent="0.25">
      <c r="J22" s="9" t="s">
        <v>145</v>
      </c>
      <c r="K22" s="10">
        <v>49000</v>
      </c>
      <c r="M22" s="9" t="s">
        <v>145</v>
      </c>
      <c r="N22" s="27">
        <v>18000</v>
      </c>
      <c r="O22" s="27">
        <v>1</v>
      </c>
      <c r="P22" s="27">
        <v>3000</v>
      </c>
      <c r="Q22" s="23">
        <v>1</v>
      </c>
      <c r="R22" s="23">
        <v>10000</v>
      </c>
      <c r="S22" s="23">
        <v>1</v>
      </c>
      <c r="T22" s="23">
        <v>18000</v>
      </c>
      <c r="U22" s="23">
        <v>1</v>
      </c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>
        <v>49000</v>
      </c>
      <c r="AG22" s="23">
        <v>4</v>
      </c>
    </row>
    <row r="23" spans="2:38" x14ac:dyDescent="0.25">
      <c r="J23" s="9" t="s">
        <v>150</v>
      </c>
      <c r="K23" s="10">
        <v>88600</v>
      </c>
      <c r="M23" s="9" t="s">
        <v>150</v>
      </c>
      <c r="N23" s="27">
        <v>25200</v>
      </c>
      <c r="O23" s="27">
        <v>2</v>
      </c>
      <c r="P23" s="27">
        <v>3000</v>
      </c>
      <c r="Q23" s="23">
        <v>1</v>
      </c>
      <c r="R23" s="23">
        <v>10000</v>
      </c>
      <c r="S23" s="23">
        <v>1</v>
      </c>
      <c r="T23" s="23"/>
      <c r="U23" s="23"/>
      <c r="V23" s="23">
        <v>12600</v>
      </c>
      <c r="W23" s="23">
        <v>1</v>
      </c>
      <c r="X23" s="23">
        <v>12600</v>
      </c>
      <c r="Y23" s="23">
        <v>1</v>
      </c>
      <c r="Z23" s="23">
        <v>12600</v>
      </c>
      <c r="AA23" s="23">
        <v>1</v>
      </c>
      <c r="AB23" s="23">
        <v>12600</v>
      </c>
      <c r="AC23" s="23">
        <v>1</v>
      </c>
      <c r="AD23" s="23"/>
      <c r="AE23" s="23"/>
      <c r="AF23" s="23">
        <v>88600</v>
      </c>
      <c r="AG23" s="23">
        <v>8</v>
      </c>
    </row>
    <row r="24" spans="2:38" x14ac:dyDescent="0.25">
      <c r="J24" s="9" t="s">
        <v>166</v>
      </c>
      <c r="K24" s="10">
        <v>39000</v>
      </c>
      <c r="M24" s="9" t="s">
        <v>166</v>
      </c>
      <c r="N24" s="27">
        <v>18000</v>
      </c>
      <c r="O24" s="27">
        <v>1</v>
      </c>
      <c r="P24" s="27">
        <v>3000</v>
      </c>
      <c r="Q24" s="23">
        <v>1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>
        <v>18000</v>
      </c>
      <c r="AE24" s="23">
        <v>1</v>
      </c>
      <c r="AF24" s="23">
        <v>39000</v>
      </c>
      <c r="AG24" s="23">
        <v>3</v>
      </c>
    </row>
    <row r="25" spans="2:38" x14ac:dyDescent="0.25">
      <c r="J25" s="9" t="s">
        <v>40</v>
      </c>
      <c r="K25" s="10">
        <v>176600</v>
      </c>
      <c r="M25" s="9" t="s">
        <v>40</v>
      </c>
      <c r="N25" s="10">
        <v>61200</v>
      </c>
      <c r="O25" s="10">
        <v>4</v>
      </c>
      <c r="P25" s="10">
        <v>9000</v>
      </c>
      <c r="Q25" s="10">
        <v>3</v>
      </c>
      <c r="R25" s="10">
        <v>20000</v>
      </c>
      <c r="S25" s="10">
        <v>2</v>
      </c>
      <c r="T25" s="10">
        <v>18000</v>
      </c>
      <c r="U25" s="10">
        <v>1</v>
      </c>
      <c r="V25" s="10">
        <v>12600</v>
      </c>
      <c r="W25" s="10">
        <v>1</v>
      </c>
      <c r="X25" s="10">
        <v>12600</v>
      </c>
      <c r="Y25" s="10">
        <v>1</v>
      </c>
      <c r="Z25" s="10">
        <v>12600</v>
      </c>
      <c r="AA25" s="10">
        <v>1</v>
      </c>
      <c r="AB25" s="10">
        <v>12600</v>
      </c>
      <c r="AC25" s="10">
        <v>1</v>
      </c>
      <c r="AD25" s="10">
        <v>18000</v>
      </c>
      <c r="AE25" s="10">
        <v>1</v>
      </c>
      <c r="AF25" s="10">
        <v>176600</v>
      </c>
      <c r="AG25" s="10">
        <v>15</v>
      </c>
    </row>
    <row r="26" spans="2:38" x14ac:dyDescent="0.25">
      <c r="J26" s="28" t="s">
        <v>174</v>
      </c>
      <c r="M26" s="31" t="s">
        <v>175</v>
      </c>
    </row>
    <row r="28" spans="2:38" x14ac:dyDescent="0.25">
      <c r="N28">
        <f>GETPIVOTDATA("Somme de montant_fc",$M$19,"client_id","C201","periode","Promo")/GETPIVOTDATA("Nombre de transaction_id",$M$19,"client_id","C201","periode","Promo")</f>
        <v>12600</v>
      </c>
    </row>
  </sheetData>
  <conditionalFormatting pivot="1" sqref="K22:K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3BD5-853B-4D2B-923F-C369D64D2E55}">
  <dimension ref="A1:G6"/>
  <sheetViews>
    <sheetView workbookViewId="0">
      <selection activeCell="D25" sqref="D25"/>
    </sheetView>
  </sheetViews>
  <sheetFormatPr baseColWidth="10" defaultRowHeight="15" x14ac:dyDescent="0.25"/>
  <cols>
    <col min="1" max="1" width="15.85546875" customWidth="1"/>
    <col min="5" max="5" width="12.1406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81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82</v>
      </c>
      <c r="B2" s="6">
        <v>46149</v>
      </c>
      <c r="C2" t="s">
        <v>83</v>
      </c>
      <c r="D2" t="s">
        <v>84</v>
      </c>
      <c r="E2" t="s">
        <v>9</v>
      </c>
      <c r="F2" t="s">
        <v>26</v>
      </c>
      <c r="G2">
        <v>18000</v>
      </c>
    </row>
    <row r="3" spans="1:7" x14ac:dyDescent="0.25">
      <c r="A3" t="s">
        <v>107</v>
      </c>
      <c r="B3" s="6">
        <v>46151</v>
      </c>
      <c r="C3" t="s">
        <v>83</v>
      </c>
      <c r="D3" t="s">
        <v>108</v>
      </c>
      <c r="E3" t="s">
        <v>9</v>
      </c>
      <c r="F3" t="s">
        <v>26</v>
      </c>
      <c r="G3">
        <v>18000</v>
      </c>
    </row>
    <row r="4" spans="1:7" x14ac:dyDescent="0.25">
      <c r="A4" t="s">
        <v>88</v>
      </c>
      <c r="B4" s="6">
        <v>46149</v>
      </c>
      <c r="C4" t="s">
        <v>83</v>
      </c>
      <c r="D4" t="s">
        <v>89</v>
      </c>
      <c r="E4" t="s">
        <v>9</v>
      </c>
      <c r="F4" t="s">
        <v>10</v>
      </c>
      <c r="G4">
        <v>10000</v>
      </c>
    </row>
    <row r="5" spans="1:7" x14ac:dyDescent="0.25">
      <c r="A5" t="s">
        <v>102</v>
      </c>
      <c r="B5" s="6">
        <v>46150</v>
      </c>
      <c r="C5" t="s">
        <v>83</v>
      </c>
      <c r="D5" t="s">
        <v>103</v>
      </c>
      <c r="E5" t="s">
        <v>9</v>
      </c>
      <c r="F5" t="s">
        <v>26</v>
      </c>
      <c r="G5">
        <v>18000</v>
      </c>
    </row>
    <row r="6" spans="1:7" x14ac:dyDescent="0.25">
      <c r="A6" t="s">
        <v>96</v>
      </c>
      <c r="B6" s="6">
        <v>46150</v>
      </c>
      <c r="C6" t="s">
        <v>83</v>
      </c>
      <c r="D6" t="s">
        <v>97</v>
      </c>
      <c r="E6" t="s">
        <v>9</v>
      </c>
      <c r="F6" t="s">
        <v>26</v>
      </c>
      <c r="G6">
        <v>18000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FBB1-9F90-46B5-BBBD-13035CDCC0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44C423-1CBD-4205-8D9A-003E3DBA49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Dataset_day1</vt:lpstr>
      <vt:lpstr>Dataset_day2</vt:lpstr>
      <vt:lpstr>Dataset_day3</vt:lpstr>
      <vt:lpstr>Dataset_day4</vt:lpstr>
      <vt:lpstr>Dataset_day5</vt:lpstr>
      <vt:lpstr>Feuil6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Jevain Bkg</dc:creator>
  <cp:lastModifiedBy>Jevain Bkg</cp:lastModifiedBy>
  <dcterms:created xsi:type="dcterms:W3CDTF">2026-05-16T11:16:41Z</dcterms:created>
  <dcterms:modified xsi:type="dcterms:W3CDTF">2026-05-19T15:10:16Z</dcterms:modified>
</cp:coreProperties>
</file>